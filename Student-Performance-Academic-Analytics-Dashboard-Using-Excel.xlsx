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91703\Downloads\"/>
    </mc:Choice>
  </mc:AlternateContent>
  <bookViews>
    <workbookView xWindow="0" yWindow="0" windowWidth="23040" windowHeight="10332" firstSheet="1" activeTab="8"/>
  </bookViews>
  <sheets>
    <sheet name="Biology" sheetId="1" r:id="rId1"/>
    <sheet name="Chemistry" sheetId="2" r:id="rId2"/>
    <sheet name="Mathematics" sheetId="3" r:id="rId3"/>
    <sheet name="Philosophy" sheetId="4" r:id="rId4"/>
    <sheet name="Physics" sheetId="5" r:id="rId5"/>
    <sheet name="Sociology" sheetId="6" r:id="rId6"/>
    <sheet name="Sheet2" sheetId="11" r:id="rId7"/>
    <sheet name="Additional Details" sheetId="7" r:id="rId8"/>
    <sheet name="Report of Students" sheetId="8" r:id="rId9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8" l="1"/>
  <c r="B20" i="8"/>
  <c r="D20" i="8" s="1"/>
  <c r="B17" i="8"/>
  <c r="C17" i="8"/>
  <c r="C12" i="8"/>
  <c r="C11" i="8"/>
  <c r="C10" i="8"/>
  <c r="C26" i="8"/>
  <c r="C9" i="8"/>
  <c r="C8" i="8"/>
  <c r="C23" i="8"/>
  <c r="C13" i="8"/>
  <c r="C25" i="8"/>
  <c r="C24" i="8"/>
  <c r="C28" i="8"/>
  <c r="C27" i="8" a="1"/>
  <c r="C14" i="8" l="1"/>
  <c r="C27" i="8"/>
  <c r="D17" i="8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<sst xmlns="http://schemas.openxmlformats.org/spreadsheetml/2006/main" count="717" uniqueCount="82">
  <si>
    <t>StudentID</t>
  </si>
  <si>
    <t>Student name</t>
  </si>
  <si>
    <t>Exam name</t>
  </si>
  <si>
    <t>Exam date</t>
  </si>
  <si>
    <t>Exam points</t>
  </si>
  <si>
    <t>Strengths/weakness</t>
  </si>
  <si>
    <t>James Walker</t>
  </si>
  <si>
    <t>Biology</t>
  </si>
  <si>
    <t>05/06/2016</t>
  </si>
  <si>
    <t>Velma Clemons</t>
  </si>
  <si>
    <t>Kibo Underwood</t>
  </si>
  <si>
    <t>Louis Mcgee</t>
  </si>
  <si>
    <t>Phyllis Paul</t>
  </si>
  <si>
    <t>Zenaida Decker</t>
  </si>
  <si>
    <t>Gillian Tillman</t>
  </si>
  <si>
    <t>Constance Boone</t>
  </si>
  <si>
    <t>Giselle Lancaster</t>
  </si>
  <si>
    <t>Kirsten Mcdowell</t>
  </si>
  <si>
    <t>Solomon Ray</t>
  </si>
  <si>
    <t>John Marshall</t>
  </si>
  <si>
    <t>Merrill Carney</t>
  </si>
  <si>
    <t>Hakeem Gillespie</t>
  </si>
  <si>
    <t>Hayden Boyer</t>
  </si>
  <si>
    <t>Griffin Mcleod</t>
  </si>
  <si>
    <t>Allistair Patton</t>
  </si>
  <si>
    <t>Rina Slater</t>
  </si>
  <si>
    <t>Caldwell Skinner</t>
  </si>
  <si>
    <t>Portia Galloway</t>
  </si>
  <si>
    <t>Noelle Valentine</t>
  </si>
  <si>
    <t>Abel Clay</t>
  </si>
  <si>
    <t>Stephanie Kent</t>
  </si>
  <si>
    <t>Axel Petty</t>
  </si>
  <si>
    <t>Nevada Morales</t>
  </si>
  <si>
    <t>Fuller Bush</t>
  </si>
  <si>
    <t>Quinn Mayo</t>
  </si>
  <si>
    <t>Marcia Shepard</t>
  </si>
  <si>
    <t>Kieran Moody</t>
  </si>
  <si>
    <t>Brielle Thompson</t>
  </si>
  <si>
    <t>Hashim Gay</t>
  </si>
  <si>
    <t>Deborah Roberts</t>
  </si>
  <si>
    <t>Nomlanga Clarke</t>
  </si>
  <si>
    <t>Elaine Downs</t>
  </si>
  <si>
    <t>Christen Ballard</t>
  </si>
  <si>
    <t>Dacey Baxter</t>
  </si>
  <si>
    <t>Nasim Sampson</t>
  </si>
  <si>
    <t>Yoshi Sherman</t>
  </si>
  <si>
    <t>Chemistry</t>
  </si>
  <si>
    <t>15/06/2016</t>
  </si>
  <si>
    <t>Mathematics</t>
  </si>
  <si>
    <t>29/07/2016</t>
  </si>
  <si>
    <t>Philosophy</t>
  </si>
  <si>
    <t>02/06/2016</t>
  </si>
  <si>
    <t>Physics</t>
  </si>
  <si>
    <t>10/06/2016</t>
  </si>
  <si>
    <t>Sociology</t>
  </si>
  <si>
    <t>21/06/2016</t>
  </si>
  <si>
    <t>Stacy Small</t>
  </si>
  <si>
    <t>Age</t>
  </si>
  <si>
    <t>Gender</t>
  </si>
  <si>
    <t>Ethnicity</t>
  </si>
  <si>
    <t>ParentalEducation</t>
  </si>
  <si>
    <t>StudyTimeWeekly</t>
  </si>
  <si>
    <t>Absences</t>
  </si>
  <si>
    <t>Tutoring</t>
  </si>
  <si>
    <t>ParentalSupport</t>
  </si>
  <si>
    <t>Extracurricular</t>
  </si>
  <si>
    <t>Sports</t>
  </si>
  <si>
    <t>Music</t>
  </si>
  <si>
    <t>Volunteering</t>
  </si>
  <si>
    <t>GPA</t>
  </si>
  <si>
    <t>GradeClass</t>
  </si>
  <si>
    <t>Final Report</t>
  </si>
  <si>
    <t>Students name</t>
  </si>
  <si>
    <t>Subject</t>
  </si>
  <si>
    <t>Total</t>
  </si>
  <si>
    <t xml:space="preserve">Average Study Time Weekly </t>
  </si>
  <si>
    <t>Difference b/w avg study time and individual study time</t>
  </si>
  <si>
    <t>Average  Absence Ratio</t>
  </si>
  <si>
    <t>No.of days student Absent</t>
  </si>
  <si>
    <t>Difference b/w Average Absence Ratio and No.of days Student Absent</t>
  </si>
  <si>
    <t>Strenghth/Weakness</t>
  </si>
  <si>
    <t>Bilology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</si>
</sst>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4"/>
      <color theme="1"/>
      <name val="Calibri"/>
      <family val="2"/>
      <scheme val="minor"/>
    </font>
    <font>
      <b/>
      <sz val="22"/>
      <color theme="1" tint="0.1499984740745262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0" fontId="3" fillId="0" borderId="0" xfId="0" applyFont="1"/>
    <xf numFmtId="0" fontId="0" fillId="3" borderId="0" xfId="0" applyFill="1"/>
    <xf numFmtId="0" fontId="6" fillId="2" borderId="5" xfId="0" applyFont="1" applyFill="1" applyBorder="1"/>
    <xf numFmtId="0" fontId="0" fillId="4" borderId="0" xfId="0" applyFill="1"/>
    <xf numFmtId="0" fontId="7" fillId="4" borderId="0" xfId="0" applyFont="1" applyFill="1"/>
    <xf numFmtId="0" fontId="0" fillId="4" borderId="5" xfId="0" applyFill="1" applyBorder="1"/>
    <xf numFmtId="0" fontId="0" fillId="6" borderId="5" xfId="0" applyFill="1" applyBorder="1"/>
    <xf numFmtId="0" fontId="9" fillId="0" borderId="0" xfId="0" applyFont="1"/>
    <xf numFmtId="0" fontId="11" fillId="5" borderId="1" xfId="0" applyFont="1" applyFill="1" applyBorder="1" applyAlignment="1">
      <alignment horizontal="center"/>
    </xf>
    <xf numFmtId="0" fontId="4" fillId="7" borderId="5" xfId="0" applyFont="1" applyFill="1" applyBorder="1"/>
    <xf numFmtId="0" fontId="0" fillId="4" borderId="0" xfId="0" applyFill="1" applyAlignment="1">
      <alignment wrapText="1"/>
    </xf>
    <xf numFmtId="0" fontId="10" fillId="8" borderId="5" xfId="0" applyFont="1" applyFill="1" applyBorder="1"/>
    <xf numFmtId="0" fontId="9" fillId="8" borderId="5" xfId="0" applyFont="1" applyFill="1" applyBorder="1"/>
    <xf numFmtId="0" fontId="0" fillId="10" borderId="5" xfId="0" applyFill="1" applyBorder="1"/>
    <xf numFmtId="0" fontId="10" fillId="8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/>
    </xf>
    <xf numFmtId="0" fontId="0" fillId="9" borderId="5" xfId="0" applyFill="1" applyBorder="1" applyAlignment="1">
      <alignment horizontal="center" wrapText="1"/>
    </xf>
    <xf numFmtId="0" fontId="2" fillId="8" borderId="5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8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EA137"/>
      <color rgb="FF7823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 Marks Distribution</a:t>
            </a:r>
          </a:p>
        </c:rich>
      </c:tx>
      <c:layout/>
      <c:overlay val="0"/>
      <c:spPr>
        <a:solidFill>
          <a:srgbClr val="D9D9D9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 of Students'!$B$8</c:f>
              <c:strCache>
                <c:ptCount val="1"/>
                <c:pt idx="0">
                  <c:v>Biology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of Students'!$C$7</c:f>
              <c:strCache>
                <c:ptCount val="1"/>
                <c:pt idx="0">
                  <c:v>Exam points</c:v>
                </c:pt>
              </c:strCache>
            </c:strRef>
          </c:cat>
          <c:val>
            <c:numRef>
              <c:f>'Report of Students'!$C$8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D9-48A2-85FE-E92D43F14A72}"/>
            </c:ext>
          </c:extLst>
        </c:ser>
        <c:ser>
          <c:idx val="1"/>
          <c:order val="1"/>
          <c:tx>
            <c:strRef>
              <c:f>'Report of Students'!$B$9</c:f>
              <c:strCache>
                <c:ptCount val="1"/>
                <c:pt idx="0">
                  <c:v>Chemistry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of Students'!$C$7</c:f>
              <c:strCache>
                <c:ptCount val="1"/>
                <c:pt idx="0">
                  <c:v>Exam points</c:v>
                </c:pt>
              </c:strCache>
            </c:strRef>
          </c:cat>
          <c:val>
            <c:numRef>
              <c:f>'Report of Students'!$C$9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0D9-48A2-85FE-E92D43F14A72}"/>
            </c:ext>
          </c:extLst>
        </c:ser>
        <c:ser>
          <c:idx val="2"/>
          <c:order val="2"/>
          <c:tx>
            <c:strRef>
              <c:f>'Report of Students'!$B$10</c:f>
              <c:strCache>
                <c:ptCount val="1"/>
                <c:pt idx="0">
                  <c:v>Mathematics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of Students'!$C$7</c:f>
              <c:strCache>
                <c:ptCount val="1"/>
                <c:pt idx="0">
                  <c:v>Exam points</c:v>
                </c:pt>
              </c:strCache>
            </c:strRef>
          </c:cat>
          <c:val>
            <c:numRef>
              <c:f>'Report of Students'!$C$10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0D9-48A2-85FE-E92D43F14A72}"/>
            </c:ext>
          </c:extLst>
        </c:ser>
        <c:ser>
          <c:idx val="3"/>
          <c:order val="3"/>
          <c:tx>
            <c:strRef>
              <c:f>'Report of Students'!$B$11</c:f>
              <c:strCache>
                <c:ptCount val="1"/>
                <c:pt idx="0">
                  <c:v>Philosophy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of Students'!$C$7</c:f>
              <c:strCache>
                <c:ptCount val="1"/>
                <c:pt idx="0">
                  <c:v>Exam points</c:v>
                </c:pt>
              </c:strCache>
            </c:strRef>
          </c:cat>
          <c:val>
            <c:numRef>
              <c:f>'Report of Students'!$C$11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0D9-48A2-85FE-E92D43F14A72}"/>
            </c:ext>
          </c:extLst>
        </c:ser>
        <c:ser>
          <c:idx val="4"/>
          <c:order val="4"/>
          <c:tx>
            <c:strRef>
              <c:f>'Report of Students'!$B$12</c:f>
              <c:strCache>
                <c:ptCount val="1"/>
                <c:pt idx="0">
                  <c:v>Physics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of Students'!$C$7</c:f>
              <c:strCache>
                <c:ptCount val="1"/>
                <c:pt idx="0">
                  <c:v>Exam points</c:v>
                </c:pt>
              </c:strCache>
            </c:strRef>
          </c:cat>
          <c:val>
            <c:numRef>
              <c:f>'Report of Students'!$C$12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0D9-48A2-85FE-E92D43F14A72}"/>
            </c:ext>
          </c:extLst>
        </c:ser>
        <c:ser>
          <c:idx val="5"/>
          <c:order val="5"/>
          <c:tx>
            <c:strRef>
              <c:f>'Report of Students'!$B$13</c:f>
              <c:strCache>
                <c:ptCount val="1"/>
                <c:pt idx="0">
                  <c:v>Sociology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of Students'!$C$7</c:f>
              <c:strCache>
                <c:ptCount val="1"/>
                <c:pt idx="0">
                  <c:v>Exam points</c:v>
                </c:pt>
              </c:strCache>
            </c:strRef>
          </c:cat>
          <c:val>
            <c:numRef>
              <c:f>'Report of Students'!$C$13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0D9-48A2-85FE-E92D43F14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345544"/>
        <c:axId val="97347592"/>
      </c:barChart>
      <c:catAx>
        <c:axId val="97345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E7E6E6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D9E1F2"/>
          </a:solidFill>
          <a:ln w="9525" cap="flat" cmpd="sng" algn="ctr">
            <a:solidFill>
              <a:srgbClr val="D9E1F2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97347592"/>
        <c:crosses val="autoZero"/>
        <c:auto val="1"/>
        <c:lblAlgn val="ctr"/>
        <c:lblOffset val="100"/>
        <c:noMultiLvlLbl val="0"/>
      </c:catAx>
      <c:valAx>
        <c:axId val="97347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45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000000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Student Individual Study Time Per Week Vs Avg Study Time Per Week</a:t>
            </a:r>
          </a:p>
        </c:rich>
      </c:tx>
      <c:layout/>
      <c:overlay val="0"/>
      <c:spPr>
        <a:solidFill>
          <a:srgbClr val="E7E6E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000000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47-47F6-A8B0-88AEABD9D5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47-47F6-A8B0-88AEABD9D5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47-47F6-A8B0-88AEABD9D5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tang"/>
                    <a:ea typeface="Batang"/>
                    <a:cs typeface="Batang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;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'Report of Students'!$B$16:$D$16</c:f>
              <c:strCache>
                <c:ptCount val="3"/>
                <c:pt idx="0">
                  <c:v>Average Study Time Weekly </c:v>
                </c:pt>
                <c:pt idx="1">
                  <c:v>StudyTimeWeekly</c:v>
                </c:pt>
                <c:pt idx="2">
                  <c:v>Difference b/w avg study time and individual study time</c:v>
                </c:pt>
              </c:strCache>
            </c:strRef>
          </c:cat>
          <c:val>
            <c:numRef>
              <c:f>'Report of Students'!$B$17:$D$17</c:f>
              <c:numCache>
                <c:formatCode>General</c:formatCode>
                <c:ptCount val="3"/>
                <c:pt idx="0">
                  <c:v>9.9480693951685026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58-4781-9DE6-869B3CE8C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Average Absence Ratio Vs Student Absent Days</a:t>
            </a:r>
          </a:p>
        </c:rich>
      </c:tx>
      <c:layout/>
      <c:overlay val="0"/>
      <c:spPr>
        <a:solidFill>
          <a:srgbClr val="D0CECE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'Report of Students'!$B$19</c:f>
              <c:strCache>
                <c:ptCount val="1"/>
                <c:pt idx="0">
                  <c:v>Average  Absence Ratio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'Report of Students'!$B$20</c:f>
              <c:numCache>
                <c:formatCode>General</c:formatCode>
                <c:ptCount val="1"/>
                <c:pt idx="0">
                  <c:v>14.615384615384615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19E-4079-9C8D-278DBEBC9234}"/>
            </c:ext>
          </c:extLst>
        </c:ser>
        <c:ser>
          <c:idx val="1"/>
          <c:order val="1"/>
          <c:tx>
            <c:strRef>
              <c:f>'Report of Students'!$C$19</c:f>
              <c:strCache>
                <c:ptCount val="1"/>
                <c:pt idx="0">
                  <c:v>No.of days student Absent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'Report of Students'!$C$20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19E-4079-9C8D-278DBEBC9234}"/>
            </c:ext>
          </c:extLst>
        </c:ser>
        <c:ser>
          <c:idx val="2"/>
          <c:order val="2"/>
          <c:tx>
            <c:strRef>
              <c:f>'Report of Students'!$D$19</c:f>
              <c:strCache>
                <c:ptCount val="1"/>
                <c:pt idx="0">
                  <c:v>Difference b/w Average Absence Ratio and No.of days Student Absent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'Report of Students'!$D$20</c:f>
              <c:numCache>
                <c:formatCode>General</c:formatCode>
                <c:ptCount val="1"/>
                <c:pt idx="0">
                  <c:v>-8.384615384615385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19E-4079-9C8D-278DBEBC9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2"/>
        <c:overlap val="100"/>
        <c:axId val="638136839"/>
        <c:axId val="638138887"/>
      </c:barChart>
      <c:catAx>
        <c:axId val="638136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5B9BD5"/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638138887"/>
        <c:crosses val="autoZero"/>
        <c:auto val="1"/>
        <c:lblAlgn val="ctr"/>
        <c:lblOffset val="100"/>
        <c:noMultiLvlLbl val="0"/>
      </c:catAx>
      <c:valAx>
        <c:axId val="638138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solidFill>
            <a:srgbClr val="D9E1F2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638136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 Subject-Wise Strenghth/Weakness</a:t>
            </a:r>
          </a:p>
        </c:rich>
      </c:tx>
      <c:layout/>
      <c:overlay val="0"/>
      <c:spPr>
        <a:solidFill>
          <a:srgbClr val="D0CECE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'Report of Students'!$C$22</c:f>
              <c:strCache>
                <c:ptCount val="1"/>
                <c:pt idx="0">
                  <c:v>Strenghth/Weakness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of Students'!$B$23:$B$28</c:f>
              <c:strCache>
                <c:ptCount val="6"/>
                <c:pt idx="0">
                  <c:v>Bilology</c:v>
                </c:pt>
                <c:pt idx="1">
                  <c:v>Chemistry</c:v>
                </c:pt>
                <c:pt idx="2">
                  <c:v>Mathematics</c:v>
                </c:pt>
                <c:pt idx="3">
                  <c:v>Philosophy</c:v>
                </c:pt>
                <c:pt idx="4">
                  <c:v>Physics</c:v>
                </c:pt>
                <c:pt idx="5">
                  <c:v>Sociology</c:v>
                </c:pt>
              </c:strCache>
            </c:strRef>
          </c:cat>
          <c:val>
            <c:numRef>
              <c:f>'Report of Students'!$C$23:$C$28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CC-43C5-923D-CD2C356E1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4876167"/>
        <c:axId val="1985020935"/>
      </c:barChart>
      <c:catAx>
        <c:axId val="1054876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020935"/>
        <c:crosses val="autoZero"/>
        <c:auto val="1"/>
        <c:lblAlgn val="ctr"/>
        <c:lblOffset val="100"/>
        <c:noMultiLvlLbl val="0"/>
      </c:catAx>
      <c:valAx>
        <c:axId val="1985020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876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0</xdr:row>
      <xdr:rowOff>152400</xdr:rowOff>
    </xdr:from>
    <xdr:to>
      <xdr:col>14</xdr:col>
      <xdr:colOff>447675</xdr:colOff>
      <xdr:row>13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F5CC7B-FF99-7C77-CFE1-F74509DEC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190500</xdr:colOff>
      <xdr:row>0</xdr:row>
      <xdr:rowOff>171450</xdr:rowOff>
    </xdr:from>
    <xdr:to>
      <xdr:col>22</xdr:col>
      <xdr:colOff>447675</xdr:colOff>
      <xdr:row>13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4DECBE-D968-6E6B-F62A-1D3805554445}"/>
            </a:ext>
            <a:ext uri="{147F2762-F138-4A5C-976F-8EAC2B608ADB}">
              <a16:predDERef xmlns:a16="http://schemas.microsoft.com/office/drawing/2014/main" pred="{5EF5CC7B-FF99-7C77-CFE1-F74509DEC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152400</xdr:colOff>
      <xdr:row>15</xdr:row>
      <xdr:rowOff>0</xdr:rowOff>
    </xdr:from>
    <xdr:to>
      <xdr:col>14</xdr:col>
      <xdr:colOff>476250</xdr:colOff>
      <xdr:row>28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7D2AB5C-B013-4A96-EE7C-C57EDB0E2ADA}"/>
            </a:ext>
            <a:ext uri="{147F2762-F138-4A5C-976F-8EAC2B608ADB}">
              <a16:predDERef xmlns:a16="http://schemas.microsoft.com/office/drawing/2014/main" pred="{BF4DECBE-D968-6E6B-F62A-1D3805554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276225</xdr:colOff>
      <xdr:row>14</xdr:row>
      <xdr:rowOff>161925</xdr:rowOff>
    </xdr:from>
    <xdr:to>
      <xdr:col>22</xdr:col>
      <xdr:colOff>495300</xdr:colOff>
      <xdr:row>28</xdr:row>
      <xdr:rowOff>28575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306EC56-A4FE-A36A-9EDD-D407804F0B02}"/>
            </a:ext>
            <a:ext uri="{147F2762-F138-4A5C-976F-8EAC2B608ADB}">
              <a16:predDERef xmlns:a16="http://schemas.microsoft.com/office/drawing/2014/main" pred="{47D2AB5C-B013-4A96-EE7C-C57EDB0E2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opLeftCell="A13" workbookViewId="0">
      <selection activeCell="F1" sqref="F1"/>
    </sheetView>
  </sheetViews>
  <sheetFormatPr defaultRowHeight="14.4" x14ac:dyDescent="0.3"/>
  <cols>
    <col min="2" max="2" width="15.33203125" customWidth="1"/>
    <col min="3" max="4" width="14.109375" customWidth="1"/>
    <col min="5" max="5" width="12.6640625" customWidth="1"/>
  </cols>
  <sheetData>
    <row r="1" spans="1:6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1001</v>
      </c>
      <c r="B2" t="s">
        <v>6</v>
      </c>
      <c r="C2" t="s">
        <v>7</v>
      </c>
      <c r="D2" t="s">
        <v>8</v>
      </c>
      <c r="E2" s="3">
        <v>31</v>
      </c>
      <c r="F2">
        <f>IF(E2&gt;=60,1,0)</f>
        <v>0</v>
      </c>
    </row>
    <row r="3" spans="1:6" x14ac:dyDescent="0.3">
      <c r="A3">
        <v>1002</v>
      </c>
      <c r="B3" t="s">
        <v>9</v>
      </c>
      <c r="C3" t="s">
        <v>7</v>
      </c>
      <c r="D3" t="s">
        <v>8</v>
      </c>
      <c r="E3" s="3">
        <v>43</v>
      </c>
      <c r="F3">
        <f t="shared" ref="F3:F39" si="0">IF(E3&gt;=60,1,0)</f>
        <v>0</v>
      </c>
    </row>
    <row r="4" spans="1:6" x14ac:dyDescent="0.3">
      <c r="A4">
        <v>1003</v>
      </c>
      <c r="B4" t="s">
        <v>10</v>
      </c>
      <c r="C4" t="s">
        <v>7</v>
      </c>
      <c r="D4" t="s">
        <v>8</v>
      </c>
      <c r="E4" s="3">
        <v>81</v>
      </c>
      <c r="F4">
        <f t="shared" si="0"/>
        <v>1</v>
      </c>
    </row>
    <row r="5" spans="1:6" x14ac:dyDescent="0.3">
      <c r="A5">
        <v>1004</v>
      </c>
      <c r="B5" t="s">
        <v>11</v>
      </c>
      <c r="C5" t="s">
        <v>7</v>
      </c>
      <c r="D5" t="s">
        <v>8</v>
      </c>
      <c r="E5" s="3">
        <v>11</v>
      </c>
      <c r="F5">
        <f t="shared" si="0"/>
        <v>0</v>
      </c>
    </row>
    <row r="6" spans="1:6" x14ac:dyDescent="0.3">
      <c r="A6">
        <v>1005</v>
      </c>
      <c r="B6" t="s">
        <v>12</v>
      </c>
      <c r="C6" t="s">
        <v>7</v>
      </c>
      <c r="D6" t="s">
        <v>8</v>
      </c>
      <c r="E6" s="3">
        <v>18</v>
      </c>
      <c r="F6">
        <f t="shared" si="0"/>
        <v>0</v>
      </c>
    </row>
    <row r="7" spans="1:6" x14ac:dyDescent="0.3">
      <c r="A7">
        <v>1006</v>
      </c>
      <c r="B7" t="s">
        <v>13</v>
      </c>
      <c r="C7" t="s">
        <v>7</v>
      </c>
      <c r="D7" t="s">
        <v>8</v>
      </c>
      <c r="E7" s="3">
        <v>55</v>
      </c>
      <c r="F7">
        <f t="shared" si="0"/>
        <v>0</v>
      </c>
    </row>
    <row r="8" spans="1:6" x14ac:dyDescent="0.3">
      <c r="A8">
        <v>1007</v>
      </c>
      <c r="B8" t="s">
        <v>14</v>
      </c>
      <c r="C8" t="s">
        <v>7</v>
      </c>
      <c r="D8" t="s">
        <v>8</v>
      </c>
      <c r="E8" s="3">
        <v>38</v>
      </c>
      <c r="F8">
        <f t="shared" si="0"/>
        <v>0</v>
      </c>
    </row>
    <row r="9" spans="1:6" x14ac:dyDescent="0.3">
      <c r="A9">
        <v>1008</v>
      </c>
      <c r="B9" t="s">
        <v>15</v>
      </c>
      <c r="C9" t="s">
        <v>7</v>
      </c>
      <c r="D9" t="s">
        <v>8</v>
      </c>
      <c r="E9" s="3">
        <v>16</v>
      </c>
      <c r="F9">
        <f t="shared" si="0"/>
        <v>0</v>
      </c>
    </row>
    <row r="10" spans="1:6" x14ac:dyDescent="0.3">
      <c r="A10">
        <v>1009</v>
      </c>
      <c r="B10" t="s">
        <v>16</v>
      </c>
      <c r="C10" t="s">
        <v>7</v>
      </c>
      <c r="D10" t="s">
        <v>8</v>
      </c>
      <c r="E10" s="3">
        <v>73</v>
      </c>
      <c r="F10">
        <f t="shared" si="0"/>
        <v>1</v>
      </c>
    </row>
    <row r="11" spans="1:6" x14ac:dyDescent="0.3">
      <c r="A11">
        <v>1010</v>
      </c>
      <c r="B11" t="s">
        <v>17</v>
      </c>
      <c r="C11" t="s">
        <v>7</v>
      </c>
      <c r="D11" t="s">
        <v>8</v>
      </c>
      <c r="E11" s="3">
        <v>16</v>
      </c>
      <c r="F11">
        <f t="shared" si="0"/>
        <v>0</v>
      </c>
    </row>
    <row r="12" spans="1:6" x14ac:dyDescent="0.3">
      <c r="A12">
        <v>1011</v>
      </c>
      <c r="B12" t="s">
        <v>18</v>
      </c>
      <c r="C12" t="s">
        <v>7</v>
      </c>
      <c r="D12" t="s">
        <v>8</v>
      </c>
      <c r="E12" s="3">
        <v>23</v>
      </c>
      <c r="F12">
        <f t="shared" si="0"/>
        <v>0</v>
      </c>
    </row>
    <row r="13" spans="1:6" x14ac:dyDescent="0.3">
      <c r="A13">
        <v>1012</v>
      </c>
      <c r="B13" t="s">
        <v>19</v>
      </c>
      <c r="C13" t="s">
        <v>7</v>
      </c>
      <c r="D13" t="s">
        <v>8</v>
      </c>
      <c r="E13" s="3">
        <v>55</v>
      </c>
      <c r="F13">
        <f t="shared" si="0"/>
        <v>0</v>
      </c>
    </row>
    <row r="14" spans="1:6" x14ac:dyDescent="0.3">
      <c r="A14">
        <v>1013</v>
      </c>
      <c r="B14" t="s">
        <v>20</v>
      </c>
      <c r="C14" t="s">
        <v>7</v>
      </c>
      <c r="D14" t="s">
        <v>8</v>
      </c>
      <c r="E14" s="3">
        <v>71</v>
      </c>
      <c r="F14">
        <f t="shared" si="0"/>
        <v>1</v>
      </c>
    </row>
    <row r="15" spans="1:6" x14ac:dyDescent="0.3">
      <c r="A15">
        <v>1014</v>
      </c>
      <c r="B15" t="s">
        <v>21</v>
      </c>
      <c r="C15" s="4" t="s">
        <v>7</v>
      </c>
      <c r="D15" t="s">
        <v>8</v>
      </c>
      <c r="E15" s="3">
        <v>12</v>
      </c>
      <c r="F15">
        <f t="shared" si="0"/>
        <v>0</v>
      </c>
    </row>
    <row r="16" spans="1:6" x14ac:dyDescent="0.3">
      <c r="A16">
        <v>1015</v>
      </c>
      <c r="B16" t="s">
        <v>22</v>
      </c>
      <c r="C16" t="s">
        <v>7</v>
      </c>
      <c r="D16" t="s">
        <v>8</v>
      </c>
      <c r="E16" s="3">
        <v>77</v>
      </c>
      <c r="F16">
        <f t="shared" si="0"/>
        <v>1</v>
      </c>
    </row>
    <row r="17" spans="1:6" x14ac:dyDescent="0.3">
      <c r="A17">
        <v>1016</v>
      </c>
      <c r="B17" t="s">
        <v>23</v>
      </c>
      <c r="C17" t="s">
        <v>7</v>
      </c>
      <c r="D17" t="s">
        <v>8</v>
      </c>
      <c r="E17" s="3">
        <v>19</v>
      </c>
      <c r="F17">
        <f t="shared" si="0"/>
        <v>0</v>
      </c>
    </row>
    <row r="18" spans="1:6" x14ac:dyDescent="0.3">
      <c r="A18">
        <v>1017</v>
      </c>
      <c r="B18" t="s">
        <v>24</v>
      </c>
      <c r="C18" t="s">
        <v>7</v>
      </c>
      <c r="D18" t="s">
        <v>8</v>
      </c>
      <c r="E18" s="3">
        <v>57</v>
      </c>
      <c r="F18">
        <f t="shared" si="0"/>
        <v>0</v>
      </c>
    </row>
    <row r="19" spans="1:6" x14ac:dyDescent="0.3">
      <c r="A19">
        <v>1018</v>
      </c>
      <c r="B19" t="s">
        <v>25</v>
      </c>
      <c r="C19" t="s">
        <v>7</v>
      </c>
      <c r="D19" t="s">
        <v>8</v>
      </c>
      <c r="E19" s="3">
        <v>78</v>
      </c>
      <c r="F19">
        <f t="shared" si="0"/>
        <v>1</v>
      </c>
    </row>
    <row r="20" spans="1:6" x14ac:dyDescent="0.3">
      <c r="A20">
        <v>1019</v>
      </c>
      <c r="B20" t="s">
        <v>26</v>
      </c>
      <c r="C20" t="s">
        <v>7</v>
      </c>
      <c r="D20" t="s">
        <v>8</v>
      </c>
      <c r="E20" s="3">
        <v>92</v>
      </c>
      <c r="F20">
        <f t="shared" si="0"/>
        <v>1</v>
      </c>
    </row>
    <row r="21" spans="1:6" x14ac:dyDescent="0.3">
      <c r="A21">
        <v>1020</v>
      </c>
      <c r="B21" t="s">
        <v>27</v>
      </c>
      <c r="C21" t="s">
        <v>7</v>
      </c>
      <c r="D21" t="s">
        <v>8</v>
      </c>
      <c r="E21" s="3">
        <v>23</v>
      </c>
      <c r="F21">
        <f t="shared" si="0"/>
        <v>0</v>
      </c>
    </row>
    <row r="22" spans="1:6" x14ac:dyDescent="0.3">
      <c r="A22">
        <v>1021</v>
      </c>
      <c r="B22" t="s">
        <v>28</v>
      </c>
      <c r="C22" t="s">
        <v>7</v>
      </c>
      <c r="D22" t="s">
        <v>8</v>
      </c>
      <c r="E22" s="3">
        <v>62</v>
      </c>
      <c r="F22">
        <f t="shared" si="0"/>
        <v>1</v>
      </c>
    </row>
    <row r="23" spans="1:6" x14ac:dyDescent="0.3">
      <c r="A23">
        <v>1022</v>
      </c>
      <c r="B23" t="s">
        <v>29</v>
      </c>
      <c r="C23" t="s">
        <v>7</v>
      </c>
      <c r="D23" t="s">
        <v>8</v>
      </c>
      <c r="E23" s="3">
        <v>1</v>
      </c>
      <c r="F23">
        <f t="shared" si="0"/>
        <v>0</v>
      </c>
    </row>
    <row r="24" spans="1:6" x14ac:dyDescent="0.3">
      <c r="A24">
        <v>1023</v>
      </c>
      <c r="B24" t="s">
        <v>30</v>
      </c>
      <c r="C24" t="s">
        <v>7</v>
      </c>
      <c r="D24" t="s">
        <v>8</v>
      </c>
      <c r="E24" s="3">
        <v>100</v>
      </c>
      <c r="F24">
        <f t="shared" si="0"/>
        <v>1</v>
      </c>
    </row>
    <row r="25" spans="1:6" x14ac:dyDescent="0.3">
      <c r="A25">
        <v>1024</v>
      </c>
      <c r="B25" t="s">
        <v>31</v>
      </c>
      <c r="C25" t="s">
        <v>7</v>
      </c>
      <c r="D25" t="s">
        <v>8</v>
      </c>
      <c r="E25" s="3">
        <v>49</v>
      </c>
      <c r="F25">
        <f t="shared" si="0"/>
        <v>0</v>
      </c>
    </row>
    <row r="26" spans="1:6" x14ac:dyDescent="0.3">
      <c r="A26">
        <v>1025</v>
      </c>
      <c r="B26" t="s">
        <v>32</v>
      </c>
      <c r="C26" t="s">
        <v>7</v>
      </c>
      <c r="D26" t="s">
        <v>8</v>
      </c>
      <c r="E26" s="3">
        <v>41</v>
      </c>
      <c r="F26">
        <f t="shared" si="0"/>
        <v>0</v>
      </c>
    </row>
    <row r="27" spans="1:6" x14ac:dyDescent="0.3">
      <c r="A27">
        <v>1026</v>
      </c>
      <c r="B27" t="s">
        <v>33</v>
      </c>
      <c r="C27" t="s">
        <v>7</v>
      </c>
      <c r="D27" t="s">
        <v>8</v>
      </c>
      <c r="E27" s="3">
        <v>47</v>
      </c>
      <c r="F27">
        <f t="shared" si="0"/>
        <v>0</v>
      </c>
    </row>
    <row r="28" spans="1:6" x14ac:dyDescent="0.3">
      <c r="A28">
        <v>1027</v>
      </c>
      <c r="B28" t="s">
        <v>34</v>
      </c>
      <c r="C28" t="s">
        <v>7</v>
      </c>
      <c r="D28" t="s">
        <v>8</v>
      </c>
      <c r="E28" s="3">
        <v>24</v>
      </c>
      <c r="F28">
        <f t="shared" si="0"/>
        <v>0</v>
      </c>
    </row>
    <row r="29" spans="1:6" x14ac:dyDescent="0.3">
      <c r="A29">
        <v>1028</v>
      </c>
      <c r="B29" t="s">
        <v>35</v>
      </c>
      <c r="C29" t="s">
        <v>7</v>
      </c>
      <c r="D29" t="s">
        <v>8</v>
      </c>
      <c r="E29" s="3">
        <v>33</v>
      </c>
      <c r="F29">
        <f t="shared" si="0"/>
        <v>0</v>
      </c>
    </row>
    <row r="30" spans="1:6" x14ac:dyDescent="0.3">
      <c r="A30">
        <v>1029</v>
      </c>
      <c r="B30" t="s">
        <v>36</v>
      </c>
      <c r="C30" t="s">
        <v>7</v>
      </c>
      <c r="D30" t="s">
        <v>8</v>
      </c>
      <c r="E30" s="3">
        <v>45</v>
      </c>
      <c r="F30">
        <f t="shared" si="0"/>
        <v>0</v>
      </c>
    </row>
    <row r="31" spans="1:6" x14ac:dyDescent="0.3">
      <c r="A31">
        <v>1030</v>
      </c>
      <c r="B31" t="s">
        <v>37</v>
      </c>
      <c r="C31" t="s">
        <v>7</v>
      </c>
      <c r="D31" t="s">
        <v>8</v>
      </c>
      <c r="E31" s="3">
        <v>41</v>
      </c>
      <c r="F31">
        <f t="shared" si="0"/>
        <v>0</v>
      </c>
    </row>
    <row r="32" spans="1:6" x14ac:dyDescent="0.3">
      <c r="A32">
        <v>1031</v>
      </c>
      <c r="B32" t="s">
        <v>38</v>
      </c>
      <c r="C32" t="s">
        <v>7</v>
      </c>
      <c r="D32" t="s">
        <v>8</v>
      </c>
      <c r="E32" s="3">
        <v>78</v>
      </c>
      <c r="F32">
        <f t="shared" si="0"/>
        <v>1</v>
      </c>
    </row>
    <row r="33" spans="1:6" x14ac:dyDescent="0.3">
      <c r="A33">
        <v>1032</v>
      </c>
      <c r="B33" t="s">
        <v>39</v>
      </c>
      <c r="C33" t="s">
        <v>7</v>
      </c>
      <c r="D33" t="s">
        <v>8</v>
      </c>
      <c r="E33" s="3">
        <v>25</v>
      </c>
      <c r="F33">
        <f t="shared" si="0"/>
        <v>0</v>
      </c>
    </row>
    <row r="34" spans="1:6" x14ac:dyDescent="0.3">
      <c r="A34">
        <v>1033</v>
      </c>
      <c r="B34" t="s">
        <v>40</v>
      </c>
      <c r="C34" t="s">
        <v>7</v>
      </c>
      <c r="D34" t="s">
        <v>8</v>
      </c>
      <c r="E34" s="3">
        <v>44</v>
      </c>
      <c r="F34">
        <f t="shared" si="0"/>
        <v>0</v>
      </c>
    </row>
    <row r="35" spans="1:6" x14ac:dyDescent="0.3">
      <c r="A35">
        <v>1034</v>
      </c>
      <c r="B35" t="s">
        <v>41</v>
      </c>
      <c r="C35" t="s">
        <v>7</v>
      </c>
      <c r="D35" t="s">
        <v>8</v>
      </c>
      <c r="E35" s="3">
        <v>86</v>
      </c>
      <c r="F35">
        <f t="shared" si="0"/>
        <v>1</v>
      </c>
    </row>
    <row r="36" spans="1:6" x14ac:dyDescent="0.3">
      <c r="A36">
        <v>1035</v>
      </c>
      <c r="B36" t="s">
        <v>42</v>
      </c>
      <c r="C36" t="s">
        <v>7</v>
      </c>
      <c r="D36" t="s">
        <v>8</v>
      </c>
      <c r="E36" s="3">
        <v>97</v>
      </c>
      <c r="F36">
        <f t="shared" si="0"/>
        <v>1</v>
      </c>
    </row>
    <row r="37" spans="1:6" x14ac:dyDescent="0.3">
      <c r="A37">
        <v>1036</v>
      </c>
      <c r="B37" t="s">
        <v>43</v>
      </c>
      <c r="C37" t="s">
        <v>7</v>
      </c>
      <c r="D37" t="s">
        <v>8</v>
      </c>
      <c r="E37" s="3">
        <v>35</v>
      </c>
      <c r="F37">
        <f t="shared" si="0"/>
        <v>0</v>
      </c>
    </row>
    <row r="38" spans="1:6" x14ac:dyDescent="0.3">
      <c r="A38">
        <v>1037</v>
      </c>
      <c r="B38" t="s">
        <v>44</v>
      </c>
      <c r="C38" t="s">
        <v>7</v>
      </c>
      <c r="D38" t="s">
        <v>8</v>
      </c>
      <c r="E38" s="3">
        <v>75</v>
      </c>
      <c r="F38">
        <f t="shared" si="0"/>
        <v>1</v>
      </c>
    </row>
    <row r="39" spans="1:6" x14ac:dyDescent="0.3">
      <c r="A39">
        <v>1038</v>
      </c>
      <c r="B39" t="s">
        <v>45</v>
      </c>
      <c r="C39" t="s">
        <v>7</v>
      </c>
      <c r="D39" t="s">
        <v>8</v>
      </c>
      <c r="E39" s="3">
        <v>48</v>
      </c>
      <c r="F39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opLeftCell="A2" workbookViewId="0"/>
  </sheetViews>
  <sheetFormatPr defaultRowHeight="14.4" x14ac:dyDescent="0.3"/>
  <cols>
    <col min="1" max="1" width="12.5546875" customWidth="1"/>
    <col min="2" max="2" width="13.44140625" customWidth="1"/>
    <col min="3" max="3" width="13.33203125" customWidth="1"/>
    <col min="4" max="4" width="13" customWidth="1"/>
    <col min="5" max="5" width="13.33203125" customWidth="1"/>
  </cols>
  <sheetData>
    <row r="1" spans="1:6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1001</v>
      </c>
      <c r="B2" t="s">
        <v>6</v>
      </c>
      <c r="C2" t="s">
        <v>46</v>
      </c>
      <c r="D2" t="s">
        <v>47</v>
      </c>
      <c r="E2" s="3">
        <v>52</v>
      </c>
      <c r="F2">
        <f>IF(E2&gt;=60,1,0)</f>
        <v>0</v>
      </c>
    </row>
    <row r="3" spans="1:6" x14ac:dyDescent="0.3">
      <c r="A3">
        <v>1002</v>
      </c>
      <c r="B3" t="s">
        <v>9</v>
      </c>
      <c r="C3" t="s">
        <v>46</v>
      </c>
      <c r="D3" t="s">
        <v>47</v>
      </c>
      <c r="E3" s="3">
        <v>20</v>
      </c>
      <c r="F3">
        <f t="shared" ref="F3:F28" si="0">IF(E3&gt;=60,1,0)</f>
        <v>0</v>
      </c>
    </row>
    <row r="4" spans="1:6" x14ac:dyDescent="0.3">
      <c r="A4">
        <v>1003</v>
      </c>
      <c r="B4" t="s">
        <v>10</v>
      </c>
      <c r="C4" t="s">
        <v>46</v>
      </c>
      <c r="D4" t="s">
        <v>47</v>
      </c>
      <c r="E4" s="3">
        <v>32</v>
      </c>
      <c r="F4">
        <f t="shared" si="0"/>
        <v>0</v>
      </c>
    </row>
    <row r="5" spans="1:6" x14ac:dyDescent="0.3">
      <c r="A5">
        <v>1004</v>
      </c>
      <c r="B5" t="s">
        <v>11</v>
      </c>
      <c r="C5" t="s">
        <v>46</v>
      </c>
      <c r="D5" t="s">
        <v>47</v>
      </c>
      <c r="E5" s="3">
        <v>19</v>
      </c>
      <c r="F5">
        <f t="shared" si="0"/>
        <v>0</v>
      </c>
    </row>
    <row r="6" spans="1:6" x14ac:dyDescent="0.3">
      <c r="A6">
        <v>1005</v>
      </c>
      <c r="B6" t="s">
        <v>12</v>
      </c>
      <c r="C6" t="s">
        <v>46</v>
      </c>
      <c r="D6" t="s">
        <v>47</v>
      </c>
      <c r="E6" s="3">
        <v>61</v>
      </c>
      <c r="F6">
        <f t="shared" si="0"/>
        <v>1</v>
      </c>
    </row>
    <row r="7" spans="1:6" x14ac:dyDescent="0.3">
      <c r="A7">
        <v>1006</v>
      </c>
      <c r="B7" t="s">
        <v>13</v>
      </c>
      <c r="C7" t="s">
        <v>46</v>
      </c>
      <c r="D7" t="s">
        <v>47</v>
      </c>
      <c r="E7" s="3">
        <v>34</v>
      </c>
      <c r="F7">
        <f t="shared" si="0"/>
        <v>0</v>
      </c>
    </row>
    <row r="8" spans="1:6" x14ac:dyDescent="0.3">
      <c r="A8">
        <v>1007</v>
      </c>
      <c r="B8" t="s">
        <v>14</v>
      </c>
      <c r="C8" t="s">
        <v>46</v>
      </c>
      <c r="D8" t="s">
        <v>47</v>
      </c>
      <c r="E8" s="3">
        <v>9</v>
      </c>
      <c r="F8">
        <f t="shared" si="0"/>
        <v>0</v>
      </c>
    </row>
    <row r="9" spans="1:6" x14ac:dyDescent="0.3">
      <c r="A9">
        <v>1008</v>
      </c>
      <c r="B9" t="s">
        <v>15</v>
      </c>
      <c r="C9" t="s">
        <v>46</v>
      </c>
      <c r="D9" t="s">
        <v>47</v>
      </c>
      <c r="E9" s="3">
        <v>22</v>
      </c>
      <c r="F9">
        <f t="shared" si="0"/>
        <v>0</v>
      </c>
    </row>
    <row r="10" spans="1:6" x14ac:dyDescent="0.3">
      <c r="A10">
        <v>1009</v>
      </c>
      <c r="B10" t="s">
        <v>16</v>
      </c>
      <c r="C10" t="s">
        <v>46</v>
      </c>
      <c r="D10" t="s">
        <v>47</v>
      </c>
      <c r="E10" s="3">
        <v>46</v>
      </c>
      <c r="F10">
        <f t="shared" si="0"/>
        <v>0</v>
      </c>
    </row>
    <row r="11" spans="1:6" x14ac:dyDescent="0.3">
      <c r="A11">
        <v>1010</v>
      </c>
      <c r="B11" t="s">
        <v>17</v>
      </c>
      <c r="C11" t="s">
        <v>46</v>
      </c>
      <c r="D11" t="s">
        <v>47</v>
      </c>
      <c r="E11" s="3">
        <v>100</v>
      </c>
      <c r="F11">
        <f t="shared" si="0"/>
        <v>1</v>
      </c>
    </row>
    <row r="12" spans="1:6" x14ac:dyDescent="0.3">
      <c r="A12">
        <v>1011</v>
      </c>
      <c r="B12" t="s">
        <v>18</v>
      </c>
      <c r="C12" t="s">
        <v>46</v>
      </c>
      <c r="D12" t="s">
        <v>47</v>
      </c>
      <c r="E12" s="3">
        <v>92</v>
      </c>
      <c r="F12">
        <f t="shared" si="0"/>
        <v>1</v>
      </c>
    </row>
    <row r="13" spans="1:6" x14ac:dyDescent="0.3">
      <c r="A13">
        <v>1012</v>
      </c>
      <c r="B13" t="s">
        <v>19</v>
      </c>
      <c r="C13" t="s">
        <v>46</v>
      </c>
      <c r="D13" t="s">
        <v>47</v>
      </c>
      <c r="E13" s="3">
        <v>1</v>
      </c>
      <c r="F13">
        <f t="shared" si="0"/>
        <v>0</v>
      </c>
    </row>
    <row r="14" spans="1:6" x14ac:dyDescent="0.3">
      <c r="A14">
        <v>1013</v>
      </c>
      <c r="B14" t="s">
        <v>20</v>
      </c>
      <c r="C14" t="s">
        <v>46</v>
      </c>
      <c r="D14" t="s">
        <v>47</v>
      </c>
      <c r="E14" s="3">
        <v>84</v>
      </c>
      <c r="F14">
        <f t="shared" si="0"/>
        <v>1</v>
      </c>
    </row>
    <row r="15" spans="1:6" x14ac:dyDescent="0.3">
      <c r="A15">
        <v>1014</v>
      </c>
      <c r="B15" t="s">
        <v>21</v>
      </c>
      <c r="C15" t="s">
        <v>46</v>
      </c>
      <c r="D15" t="s">
        <v>47</v>
      </c>
      <c r="E15" s="3">
        <v>63</v>
      </c>
      <c r="F15">
        <f t="shared" si="0"/>
        <v>1</v>
      </c>
    </row>
    <row r="16" spans="1:6" x14ac:dyDescent="0.3">
      <c r="A16">
        <v>1015</v>
      </c>
      <c r="B16" t="s">
        <v>22</v>
      </c>
      <c r="C16" t="s">
        <v>46</v>
      </c>
      <c r="D16" t="s">
        <v>47</v>
      </c>
      <c r="E16" s="3">
        <v>59</v>
      </c>
      <c r="F16">
        <f t="shared" si="0"/>
        <v>0</v>
      </c>
    </row>
    <row r="17" spans="1:6" x14ac:dyDescent="0.3">
      <c r="A17">
        <v>1016</v>
      </c>
      <c r="B17" t="s">
        <v>23</v>
      </c>
      <c r="C17" t="s">
        <v>46</v>
      </c>
      <c r="D17" t="s">
        <v>47</v>
      </c>
      <c r="E17" s="3">
        <v>61</v>
      </c>
      <c r="F17">
        <f t="shared" si="0"/>
        <v>1</v>
      </c>
    </row>
    <row r="18" spans="1:6" x14ac:dyDescent="0.3">
      <c r="A18">
        <v>1017</v>
      </c>
      <c r="B18" t="s">
        <v>24</v>
      </c>
      <c r="C18" t="s">
        <v>46</v>
      </c>
      <c r="D18" t="s">
        <v>47</v>
      </c>
      <c r="E18" s="3">
        <v>47</v>
      </c>
      <c r="F18">
        <f t="shared" si="0"/>
        <v>0</v>
      </c>
    </row>
    <row r="19" spans="1:6" x14ac:dyDescent="0.3">
      <c r="A19">
        <v>1018</v>
      </c>
      <c r="B19" t="s">
        <v>25</v>
      </c>
      <c r="C19" t="s">
        <v>46</v>
      </c>
      <c r="D19" t="s">
        <v>47</v>
      </c>
      <c r="E19" s="3">
        <v>27</v>
      </c>
      <c r="F19">
        <f t="shared" si="0"/>
        <v>0</v>
      </c>
    </row>
    <row r="20" spans="1:6" x14ac:dyDescent="0.3">
      <c r="A20">
        <v>1019</v>
      </c>
      <c r="B20" t="s">
        <v>26</v>
      </c>
      <c r="C20" t="s">
        <v>46</v>
      </c>
      <c r="D20" t="s">
        <v>47</v>
      </c>
      <c r="E20" s="3">
        <v>99</v>
      </c>
      <c r="F20">
        <f t="shared" si="0"/>
        <v>1</v>
      </c>
    </row>
    <row r="21" spans="1:6" x14ac:dyDescent="0.3">
      <c r="A21">
        <v>1020</v>
      </c>
      <c r="B21" t="s">
        <v>27</v>
      </c>
      <c r="C21" t="s">
        <v>46</v>
      </c>
      <c r="D21" t="s">
        <v>47</v>
      </c>
      <c r="E21" s="3">
        <v>84</v>
      </c>
      <c r="F21">
        <f t="shared" si="0"/>
        <v>1</v>
      </c>
    </row>
    <row r="22" spans="1:6" x14ac:dyDescent="0.3">
      <c r="A22">
        <v>1021</v>
      </c>
      <c r="B22" t="s">
        <v>28</v>
      </c>
      <c r="C22" t="s">
        <v>46</v>
      </c>
      <c r="D22" t="s">
        <v>47</v>
      </c>
      <c r="E22" s="3">
        <v>95</v>
      </c>
      <c r="F22">
        <f t="shared" si="0"/>
        <v>1</v>
      </c>
    </row>
    <row r="23" spans="1:6" x14ac:dyDescent="0.3">
      <c r="A23">
        <v>1022</v>
      </c>
      <c r="B23" t="s">
        <v>29</v>
      </c>
      <c r="C23" t="s">
        <v>46</v>
      </c>
      <c r="D23" t="s">
        <v>47</v>
      </c>
      <c r="E23" s="3">
        <v>50</v>
      </c>
      <c r="F23">
        <f t="shared" si="0"/>
        <v>0</v>
      </c>
    </row>
    <row r="24" spans="1:6" x14ac:dyDescent="0.3">
      <c r="A24">
        <v>1023</v>
      </c>
      <c r="B24" t="s">
        <v>30</v>
      </c>
      <c r="C24" t="s">
        <v>46</v>
      </c>
      <c r="D24" t="s">
        <v>47</v>
      </c>
      <c r="E24" s="3">
        <v>27</v>
      </c>
      <c r="F24">
        <f t="shared" si="0"/>
        <v>0</v>
      </c>
    </row>
    <row r="25" spans="1:6" x14ac:dyDescent="0.3">
      <c r="A25">
        <v>1024</v>
      </c>
      <c r="B25" t="s">
        <v>31</v>
      </c>
      <c r="C25" t="s">
        <v>46</v>
      </c>
      <c r="D25" t="s">
        <v>47</v>
      </c>
      <c r="E25" s="3">
        <v>39</v>
      </c>
      <c r="F25">
        <f t="shared" si="0"/>
        <v>0</v>
      </c>
    </row>
    <row r="26" spans="1:6" x14ac:dyDescent="0.3">
      <c r="A26">
        <v>1025</v>
      </c>
      <c r="B26" t="s">
        <v>32</v>
      </c>
      <c r="C26" t="s">
        <v>46</v>
      </c>
      <c r="D26" t="s">
        <v>47</v>
      </c>
      <c r="E26" s="3">
        <v>71</v>
      </c>
      <c r="F26">
        <f t="shared" si="0"/>
        <v>1</v>
      </c>
    </row>
    <row r="27" spans="1:6" x14ac:dyDescent="0.3">
      <c r="A27">
        <v>1026</v>
      </c>
      <c r="B27" t="s">
        <v>33</v>
      </c>
      <c r="C27" t="s">
        <v>46</v>
      </c>
      <c r="D27" t="s">
        <v>47</v>
      </c>
      <c r="E27" s="3">
        <v>83</v>
      </c>
      <c r="F27">
        <f t="shared" si="0"/>
        <v>1</v>
      </c>
    </row>
    <row r="28" spans="1:6" x14ac:dyDescent="0.3">
      <c r="A28">
        <v>1027</v>
      </c>
      <c r="B28" t="s">
        <v>34</v>
      </c>
      <c r="C28" t="s">
        <v>46</v>
      </c>
      <c r="D28" t="s">
        <v>47</v>
      </c>
      <c r="E28" s="3">
        <v>38</v>
      </c>
      <c r="F28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opLeftCell="A12" workbookViewId="0">
      <selection activeCell="B29" sqref="B29"/>
    </sheetView>
  </sheetViews>
  <sheetFormatPr defaultRowHeight="14.4" x14ac:dyDescent="0.3"/>
  <cols>
    <col min="2" max="2" width="18.6640625" customWidth="1"/>
    <col min="3" max="3" width="15.88671875" customWidth="1"/>
    <col min="4" max="4" width="13.6640625" customWidth="1"/>
    <col min="5" max="5" width="12.33203125" customWidth="1"/>
    <col min="6" max="6" width="19.109375" customWidth="1"/>
  </cols>
  <sheetData>
    <row r="1" spans="1:6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1001</v>
      </c>
      <c r="B2" t="s">
        <v>6</v>
      </c>
      <c r="C2" t="s">
        <v>48</v>
      </c>
      <c r="D2" t="s">
        <v>49</v>
      </c>
      <c r="E2" s="3">
        <v>48</v>
      </c>
      <c r="F2">
        <f>IF(E2&gt;=60,1,0)</f>
        <v>0</v>
      </c>
    </row>
    <row r="3" spans="1:6" x14ac:dyDescent="0.3">
      <c r="A3">
        <v>1002</v>
      </c>
      <c r="B3" t="s">
        <v>9</v>
      </c>
      <c r="C3" t="s">
        <v>48</v>
      </c>
      <c r="D3" t="s">
        <v>49</v>
      </c>
      <c r="E3" s="3">
        <v>5</v>
      </c>
      <c r="F3">
        <f t="shared" ref="F3:F38" si="0">IF(E3&gt;=60,1,0)</f>
        <v>0</v>
      </c>
    </row>
    <row r="4" spans="1:6" x14ac:dyDescent="0.3">
      <c r="A4">
        <v>1003</v>
      </c>
      <c r="B4" t="s">
        <v>10</v>
      </c>
      <c r="C4" t="s">
        <v>48</v>
      </c>
      <c r="D4" t="s">
        <v>49</v>
      </c>
      <c r="E4" s="3">
        <v>7</v>
      </c>
      <c r="F4">
        <f t="shared" si="0"/>
        <v>0</v>
      </c>
    </row>
    <row r="5" spans="1:6" x14ac:dyDescent="0.3">
      <c r="A5">
        <v>1004</v>
      </c>
      <c r="B5" t="s">
        <v>11</v>
      </c>
      <c r="C5" t="s">
        <v>48</v>
      </c>
      <c r="D5" t="s">
        <v>49</v>
      </c>
      <c r="E5" s="3">
        <v>70</v>
      </c>
      <c r="F5">
        <f t="shared" si="0"/>
        <v>1</v>
      </c>
    </row>
    <row r="6" spans="1:6" x14ac:dyDescent="0.3">
      <c r="A6">
        <v>1005</v>
      </c>
      <c r="B6" t="s">
        <v>12</v>
      </c>
      <c r="C6" t="s">
        <v>48</v>
      </c>
      <c r="D6" t="s">
        <v>49</v>
      </c>
      <c r="E6" s="3">
        <v>73</v>
      </c>
      <c r="F6">
        <f t="shared" si="0"/>
        <v>1</v>
      </c>
    </row>
    <row r="7" spans="1:6" x14ac:dyDescent="0.3">
      <c r="A7">
        <v>1006</v>
      </c>
      <c r="B7" t="s">
        <v>13</v>
      </c>
      <c r="C7" t="s">
        <v>48</v>
      </c>
      <c r="D7" t="s">
        <v>49</v>
      </c>
      <c r="E7" s="3">
        <v>59</v>
      </c>
      <c r="F7">
        <f t="shared" si="0"/>
        <v>0</v>
      </c>
    </row>
    <row r="8" spans="1:6" x14ac:dyDescent="0.3">
      <c r="A8">
        <v>1007</v>
      </c>
      <c r="B8" t="s">
        <v>14</v>
      </c>
      <c r="C8" t="s">
        <v>48</v>
      </c>
      <c r="D8" t="s">
        <v>49</v>
      </c>
      <c r="E8" s="3">
        <v>23</v>
      </c>
      <c r="F8">
        <f t="shared" si="0"/>
        <v>0</v>
      </c>
    </row>
    <row r="9" spans="1:6" x14ac:dyDescent="0.3">
      <c r="A9">
        <v>1008</v>
      </c>
      <c r="B9" t="s">
        <v>15</v>
      </c>
      <c r="C9" t="s">
        <v>48</v>
      </c>
      <c r="D9" t="s">
        <v>49</v>
      </c>
      <c r="E9" s="3">
        <v>72</v>
      </c>
      <c r="F9">
        <f t="shared" si="0"/>
        <v>1</v>
      </c>
    </row>
    <row r="10" spans="1:6" x14ac:dyDescent="0.3">
      <c r="A10">
        <v>1009</v>
      </c>
      <c r="B10" t="s">
        <v>16</v>
      </c>
      <c r="C10" t="s">
        <v>48</v>
      </c>
      <c r="D10" t="s">
        <v>49</v>
      </c>
      <c r="E10" s="3">
        <v>31</v>
      </c>
      <c r="F10">
        <f t="shared" si="0"/>
        <v>0</v>
      </c>
    </row>
    <row r="11" spans="1:6" x14ac:dyDescent="0.3">
      <c r="A11">
        <v>1010</v>
      </c>
      <c r="B11" t="s">
        <v>17</v>
      </c>
      <c r="C11" t="s">
        <v>48</v>
      </c>
      <c r="D11" t="s">
        <v>49</v>
      </c>
      <c r="E11" s="3">
        <v>74</v>
      </c>
      <c r="F11">
        <f t="shared" si="0"/>
        <v>1</v>
      </c>
    </row>
    <row r="12" spans="1:6" x14ac:dyDescent="0.3">
      <c r="A12">
        <v>1011</v>
      </c>
      <c r="B12" t="s">
        <v>18</v>
      </c>
      <c r="C12" t="s">
        <v>48</v>
      </c>
      <c r="D12" t="s">
        <v>49</v>
      </c>
      <c r="E12" s="3">
        <v>91</v>
      </c>
      <c r="F12">
        <f t="shared" si="0"/>
        <v>1</v>
      </c>
    </row>
    <row r="13" spans="1:6" x14ac:dyDescent="0.3">
      <c r="A13">
        <v>1012</v>
      </c>
      <c r="B13" t="s">
        <v>19</v>
      </c>
      <c r="C13" t="s">
        <v>48</v>
      </c>
      <c r="D13" t="s">
        <v>49</v>
      </c>
      <c r="E13" s="3">
        <v>53</v>
      </c>
      <c r="F13">
        <f t="shared" si="0"/>
        <v>0</v>
      </c>
    </row>
    <row r="14" spans="1:6" x14ac:dyDescent="0.3">
      <c r="A14">
        <v>1013</v>
      </c>
      <c r="B14" t="s">
        <v>20</v>
      </c>
      <c r="C14" t="s">
        <v>48</v>
      </c>
      <c r="D14" t="s">
        <v>49</v>
      </c>
      <c r="E14" s="3">
        <v>56</v>
      </c>
      <c r="F14">
        <f t="shared" si="0"/>
        <v>0</v>
      </c>
    </row>
    <row r="15" spans="1:6" x14ac:dyDescent="0.3">
      <c r="A15">
        <v>1014</v>
      </c>
      <c r="B15" t="s">
        <v>21</v>
      </c>
      <c r="C15" t="s">
        <v>48</v>
      </c>
      <c r="D15" t="s">
        <v>49</v>
      </c>
      <c r="E15" s="3">
        <v>53</v>
      </c>
      <c r="F15">
        <f t="shared" si="0"/>
        <v>0</v>
      </c>
    </row>
    <row r="16" spans="1:6" x14ac:dyDescent="0.3">
      <c r="A16">
        <v>1015</v>
      </c>
      <c r="B16" t="s">
        <v>22</v>
      </c>
      <c r="C16" t="s">
        <v>48</v>
      </c>
      <c r="D16" t="s">
        <v>49</v>
      </c>
      <c r="E16" s="3">
        <v>100</v>
      </c>
      <c r="F16">
        <f t="shared" si="0"/>
        <v>1</v>
      </c>
    </row>
    <row r="17" spans="1:6" x14ac:dyDescent="0.3">
      <c r="A17">
        <v>1016</v>
      </c>
      <c r="B17" t="s">
        <v>23</v>
      </c>
      <c r="C17" t="s">
        <v>48</v>
      </c>
      <c r="D17" t="s">
        <v>49</v>
      </c>
      <c r="E17" s="3">
        <v>50</v>
      </c>
      <c r="F17">
        <f t="shared" si="0"/>
        <v>0</v>
      </c>
    </row>
    <row r="18" spans="1:6" x14ac:dyDescent="0.3">
      <c r="A18">
        <v>1017</v>
      </c>
      <c r="B18" t="s">
        <v>24</v>
      </c>
      <c r="C18" t="s">
        <v>48</v>
      </c>
      <c r="D18" t="s">
        <v>49</v>
      </c>
      <c r="E18" s="3">
        <v>60</v>
      </c>
      <c r="F18">
        <f t="shared" si="0"/>
        <v>1</v>
      </c>
    </row>
    <row r="19" spans="1:6" x14ac:dyDescent="0.3">
      <c r="A19">
        <v>1018</v>
      </c>
      <c r="B19" t="s">
        <v>25</v>
      </c>
      <c r="C19" t="s">
        <v>48</v>
      </c>
      <c r="D19" t="s">
        <v>49</v>
      </c>
      <c r="E19" s="3">
        <v>38</v>
      </c>
      <c r="F19">
        <f t="shared" si="0"/>
        <v>0</v>
      </c>
    </row>
    <row r="20" spans="1:6" x14ac:dyDescent="0.3">
      <c r="A20">
        <v>1019</v>
      </c>
      <c r="B20" t="s">
        <v>26</v>
      </c>
      <c r="C20" t="s">
        <v>48</v>
      </c>
      <c r="D20" t="s">
        <v>49</v>
      </c>
      <c r="E20" s="3">
        <v>33</v>
      </c>
      <c r="F20">
        <f t="shared" si="0"/>
        <v>0</v>
      </c>
    </row>
    <row r="21" spans="1:6" x14ac:dyDescent="0.3">
      <c r="A21">
        <v>1020</v>
      </c>
      <c r="B21" t="s">
        <v>27</v>
      </c>
      <c r="C21" t="s">
        <v>48</v>
      </c>
      <c r="D21" t="s">
        <v>49</v>
      </c>
      <c r="E21" s="3">
        <v>75</v>
      </c>
      <c r="F21">
        <f t="shared" si="0"/>
        <v>1</v>
      </c>
    </row>
    <row r="22" spans="1:6" x14ac:dyDescent="0.3">
      <c r="A22">
        <v>1021</v>
      </c>
      <c r="B22" t="s">
        <v>28</v>
      </c>
      <c r="C22" t="s">
        <v>48</v>
      </c>
      <c r="D22" t="s">
        <v>49</v>
      </c>
      <c r="E22" s="3">
        <v>74</v>
      </c>
      <c r="F22">
        <f t="shared" si="0"/>
        <v>1</v>
      </c>
    </row>
    <row r="23" spans="1:6" x14ac:dyDescent="0.3">
      <c r="A23">
        <v>1022</v>
      </c>
      <c r="B23" t="s">
        <v>29</v>
      </c>
      <c r="C23" t="s">
        <v>48</v>
      </c>
      <c r="D23" t="s">
        <v>49</v>
      </c>
      <c r="E23" s="3">
        <v>7</v>
      </c>
      <c r="F23">
        <f t="shared" si="0"/>
        <v>0</v>
      </c>
    </row>
    <row r="24" spans="1:6" x14ac:dyDescent="0.3">
      <c r="A24">
        <v>1023</v>
      </c>
      <c r="B24" t="s">
        <v>30</v>
      </c>
      <c r="C24" t="s">
        <v>48</v>
      </c>
      <c r="D24" t="s">
        <v>49</v>
      </c>
      <c r="E24" s="3">
        <v>6</v>
      </c>
      <c r="F24">
        <f t="shared" si="0"/>
        <v>0</v>
      </c>
    </row>
    <row r="25" spans="1:6" x14ac:dyDescent="0.3">
      <c r="A25">
        <v>1024</v>
      </c>
      <c r="B25" t="s">
        <v>31</v>
      </c>
      <c r="C25" t="s">
        <v>48</v>
      </c>
      <c r="D25" t="s">
        <v>49</v>
      </c>
      <c r="E25" s="3">
        <v>40</v>
      </c>
      <c r="F25">
        <f t="shared" si="0"/>
        <v>0</v>
      </c>
    </row>
    <row r="26" spans="1:6" x14ac:dyDescent="0.3">
      <c r="A26">
        <v>1025</v>
      </c>
      <c r="B26" t="s">
        <v>32</v>
      </c>
      <c r="C26" t="s">
        <v>48</v>
      </c>
      <c r="D26" t="s">
        <v>49</v>
      </c>
      <c r="E26" s="3">
        <v>14</v>
      </c>
      <c r="F26">
        <f t="shared" si="0"/>
        <v>0</v>
      </c>
    </row>
    <row r="27" spans="1:6" x14ac:dyDescent="0.3">
      <c r="A27">
        <v>1026</v>
      </c>
      <c r="B27" t="s">
        <v>33</v>
      </c>
      <c r="C27" t="s">
        <v>48</v>
      </c>
      <c r="D27" t="s">
        <v>49</v>
      </c>
      <c r="E27" s="3">
        <v>16</v>
      </c>
      <c r="F27">
        <f t="shared" si="0"/>
        <v>0</v>
      </c>
    </row>
    <row r="28" spans="1:6" x14ac:dyDescent="0.3">
      <c r="A28">
        <v>1027</v>
      </c>
      <c r="B28" t="s">
        <v>34</v>
      </c>
      <c r="C28" t="s">
        <v>48</v>
      </c>
      <c r="D28" t="s">
        <v>49</v>
      </c>
      <c r="E28" s="3">
        <v>31</v>
      </c>
      <c r="F28">
        <f t="shared" si="0"/>
        <v>0</v>
      </c>
    </row>
    <row r="29" spans="1:6" x14ac:dyDescent="0.3">
      <c r="A29">
        <v>1028</v>
      </c>
      <c r="B29" t="s">
        <v>35</v>
      </c>
      <c r="C29" t="s">
        <v>48</v>
      </c>
      <c r="D29" t="s">
        <v>49</v>
      </c>
      <c r="E29" s="3">
        <v>72</v>
      </c>
      <c r="F29">
        <f t="shared" si="0"/>
        <v>1</v>
      </c>
    </row>
    <row r="30" spans="1:6" x14ac:dyDescent="0.3">
      <c r="A30">
        <v>1029</v>
      </c>
      <c r="B30" t="s">
        <v>36</v>
      </c>
      <c r="C30" t="s">
        <v>48</v>
      </c>
      <c r="D30" t="s">
        <v>49</v>
      </c>
      <c r="E30" s="3">
        <v>48</v>
      </c>
      <c r="F30">
        <f t="shared" si="0"/>
        <v>0</v>
      </c>
    </row>
    <row r="31" spans="1:6" x14ac:dyDescent="0.3">
      <c r="A31">
        <v>1030</v>
      </c>
      <c r="B31" t="s">
        <v>37</v>
      </c>
      <c r="C31" t="s">
        <v>48</v>
      </c>
      <c r="D31" t="s">
        <v>49</v>
      </c>
      <c r="E31" s="3">
        <v>53</v>
      </c>
      <c r="F31">
        <f t="shared" si="0"/>
        <v>0</v>
      </c>
    </row>
    <row r="32" spans="1:6" x14ac:dyDescent="0.3">
      <c r="A32">
        <v>1031</v>
      </c>
      <c r="B32" t="s">
        <v>38</v>
      </c>
      <c r="C32" t="s">
        <v>48</v>
      </c>
      <c r="D32" t="s">
        <v>49</v>
      </c>
      <c r="E32" s="3">
        <v>67</v>
      </c>
      <c r="F32">
        <f t="shared" si="0"/>
        <v>1</v>
      </c>
    </row>
    <row r="33" spans="1:6" x14ac:dyDescent="0.3">
      <c r="A33">
        <v>1032</v>
      </c>
      <c r="B33" t="s">
        <v>39</v>
      </c>
      <c r="C33" t="s">
        <v>48</v>
      </c>
      <c r="D33" t="s">
        <v>49</v>
      </c>
      <c r="E33" s="3">
        <v>23</v>
      </c>
      <c r="F33">
        <f t="shared" si="0"/>
        <v>0</v>
      </c>
    </row>
    <row r="34" spans="1:6" x14ac:dyDescent="0.3">
      <c r="A34">
        <v>1033</v>
      </c>
      <c r="B34" t="s">
        <v>40</v>
      </c>
      <c r="C34" t="s">
        <v>48</v>
      </c>
      <c r="D34" t="s">
        <v>49</v>
      </c>
      <c r="E34" s="3">
        <v>90</v>
      </c>
      <c r="F34">
        <f t="shared" si="0"/>
        <v>1</v>
      </c>
    </row>
    <row r="35" spans="1:6" x14ac:dyDescent="0.3">
      <c r="A35">
        <v>1034</v>
      </c>
      <c r="B35" t="s">
        <v>41</v>
      </c>
      <c r="C35" t="s">
        <v>48</v>
      </c>
      <c r="D35" t="s">
        <v>49</v>
      </c>
      <c r="E35" s="3">
        <v>87</v>
      </c>
      <c r="F35">
        <f t="shared" si="0"/>
        <v>1</v>
      </c>
    </row>
    <row r="36" spans="1:6" x14ac:dyDescent="0.3">
      <c r="A36">
        <v>1035</v>
      </c>
      <c r="B36" t="s">
        <v>42</v>
      </c>
      <c r="C36" t="s">
        <v>48</v>
      </c>
      <c r="D36" t="s">
        <v>49</v>
      </c>
      <c r="E36" s="3">
        <v>40</v>
      </c>
      <c r="F36">
        <f t="shared" si="0"/>
        <v>0</v>
      </c>
    </row>
    <row r="37" spans="1:6" x14ac:dyDescent="0.3">
      <c r="A37">
        <v>1036</v>
      </c>
      <c r="B37" t="s">
        <v>43</v>
      </c>
      <c r="C37" t="s">
        <v>48</v>
      </c>
      <c r="D37" t="s">
        <v>49</v>
      </c>
      <c r="E37" s="3">
        <v>26</v>
      </c>
      <c r="F37">
        <f t="shared" si="0"/>
        <v>0</v>
      </c>
    </row>
    <row r="38" spans="1:6" x14ac:dyDescent="0.3">
      <c r="A38">
        <v>1037</v>
      </c>
      <c r="B38" t="s">
        <v>44</v>
      </c>
      <c r="C38" t="s">
        <v>48</v>
      </c>
      <c r="D38" t="s">
        <v>49</v>
      </c>
      <c r="E38" s="3">
        <v>51</v>
      </c>
      <c r="F38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opLeftCell="A13" workbookViewId="0">
      <selection activeCell="C2" sqref="C2"/>
    </sheetView>
  </sheetViews>
  <sheetFormatPr defaultRowHeight="14.4" x14ac:dyDescent="0.3"/>
  <cols>
    <col min="2" max="2" width="16.6640625" customWidth="1"/>
    <col min="3" max="3" width="19.5546875" customWidth="1"/>
    <col min="4" max="4" width="14.6640625" customWidth="1"/>
    <col min="5" max="5" width="14.88671875" customWidth="1"/>
    <col min="6" max="6" width="14.5546875" customWidth="1"/>
  </cols>
  <sheetData>
    <row r="1" spans="1:6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1001</v>
      </c>
      <c r="B2" t="s">
        <v>6</v>
      </c>
      <c r="C2" t="s">
        <v>50</v>
      </c>
      <c r="D2" t="s">
        <v>51</v>
      </c>
      <c r="E2" s="3">
        <v>35</v>
      </c>
      <c r="F2">
        <f>IF(E2&gt;=60,1,0)</f>
        <v>0</v>
      </c>
    </row>
    <row r="3" spans="1:6" x14ac:dyDescent="0.3">
      <c r="A3">
        <v>1002</v>
      </c>
      <c r="B3" t="s">
        <v>9</v>
      </c>
      <c r="C3" t="s">
        <v>50</v>
      </c>
      <c r="D3" t="s">
        <v>51</v>
      </c>
      <c r="E3" s="3">
        <v>66</v>
      </c>
      <c r="F3">
        <f t="shared" ref="F3:F39" si="0">IF(E3&gt;=60,1,0)</f>
        <v>1</v>
      </c>
    </row>
    <row r="4" spans="1:6" x14ac:dyDescent="0.3">
      <c r="A4">
        <v>1003</v>
      </c>
      <c r="B4" t="s">
        <v>10</v>
      </c>
      <c r="C4" t="s">
        <v>50</v>
      </c>
      <c r="D4" t="s">
        <v>51</v>
      </c>
      <c r="E4" s="3">
        <v>29</v>
      </c>
      <c r="F4">
        <f t="shared" si="0"/>
        <v>0</v>
      </c>
    </row>
    <row r="5" spans="1:6" x14ac:dyDescent="0.3">
      <c r="A5">
        <v>1004</v>
      </c>
      <c r="B5" t="s">
        <v>11</v>
      </c>
      <c r="C5" t="s">
        <v>50</v>
      </c>
      <c r="D5" t="s">
        <v>51</v>
      </c>
      <c r="E5" s="3">
        <v>91</v>
      </c>
      <c r="F5">
        <f t="shared" si="0"/>
        <v>1</v>
      </c>
    </row>
    <row r="6" spans="1:6" x14ac:dyDescent="0.3">
      <c r="A6">
        <v>1005</v>
      </c>
      <c r="B6" t="s">
        <v>12</v>
      </c>
      <c r="C6" t="s">
        <v>50</v>
      </c>
      <c r="D6" t="s">
        <v>51</v>
      </c>
      <c r="E6" s="3">
        <v>63</v>
      </c>
      <c r="F6">
        <f t="shared" si="0"/>
        <v>1</v>
      </c>
    </row>
    <row r="7" spans="1:6" x14ac:dyDescent="0.3">
      <c r="A7">
        <v>1006</v>
      </c>
      <c r="B7" t="s">
        <v>13</v>
      </c>
      <c r="C7" t="s">
        <v>50</v>
      </c>
      <c r="D7" t="s">
        <v>51</v>
      </c>
      <c r="E7" s="3">
        <v>16</v>
      </c>
      <c r="F7">
        <f t="shared" si="0"/>
        <v>0</v>
      </c>
    </row>
    <row r="8" spans="1:6" x14ac:dyDescent="0.3">
      <c r="A8">
        <v>1007</v>
      </c>
      <c r="B8" t="s">
        <v>14</v>
      </c>
      <c r="C8" t="s">
        <v>50</v>
      </c>
      <c r="D8" t="s">
        <v>51</v>
      </c>
      <c r="E8" s="3">
        <v>10</v>
      </c>
      <c r="F8">
        <f t="shared" si="0"/>
        <v>0</v>
      </c>
    </row>
    <row r="9" spans="1:6" x14ac:dyDescent="0.3">
      <c r="A9">
        <v>1008</v>
      </c>
      <c r="B9" t="s">
        <v>15</v>
      </c>
      <c r="C9" t="s">
        <v>50</v>
      </c>
      <c r="D9" t="s">
        <v>51</v>
      </c>
      <c r="E9" s="3">
        <v>23</v>
      </c>
      <c r="F9">
        <f t="shared" si="0"/>
        <v>0</v>
      </c>
    </row>
    <row r="10" spans="1:6" x14ac:dyDescent="0.3">
      <c r="A10">
        <v>1009</v>
      </c>
      <c r="B10" t="s">
        <v>16</v>
      </c>
      <c r="C10" t="s">
        <v>50</v>
      </c>
      <c r="D10" t="s">
        <v>51</v>
      </c>
      <c r="E10" s="3">
        <v>72</v>
      </c>
      <c r="F10">
        <f t="shared" si="0"/>
        <v>1</v>
      </c>
    </row>
    <row r="11" spans="1:6" x14ac:dyDescent="0.3">
      <c r="A11">
        <v>1010</v>
      </c>
      <c r="B11" t="s">
        <v>17</v>
      </c>
      <c r="C11" t="s">
        <v>50</v>
      </c>
      <c r="D11" t="s">
        <v>51</v>
      </c>
      <c r="E11" s="3">
        <v>93</v>
      </c>
      <c r="F11">
        <f t="shared" si="0"/>
        <v>1</v>
      </c>
    </row>
    <row r="12" spans="1:6" x14ac:dyDescent="0.3">
      <c r="A12">
        <v>1011</v>
      </c>
      <c r="B12" t="s">
        <v>18</v>
      </c>
      <c r="C12" t="s">
        <v>50</v>
      </c>
      <c r="D12" t="s">
        <v>51</v>
      </c>
      <c r="E12" s="3">
        <v>10</v>
      </c>
      <c r="F12">
        <f t="shared" si="0"/>
        <v>0</v>
      </c>
    </row>
    <row r="13" spans="1:6" x14ac:dyDescent="0.3">
      <c r="A13">
        <v>1012</v>
      </c>
      <c r="B13" t="s">
        <v>19</v>
      </c>
      <c r="C13" t="s">
        <v>50</v>
      </c>
      <c r="D13" t="s">
        <v>51</v>
      </c>
      <c r="E13" s="3">
        <v>99</v>
      </c>
      <c r="F13">
        <f t="shared" si="0"/>
        <v>1</v>
      </c>
    </row>
    <row r="14" spans="1:6" x14ac:dyDescent="0.3">
      <c r="A14">
        <v>1013</v>
      </c>
      <c r="B14" t="s">
        <v>20</v>
      </c>
      <c r="C14" t="s">
        <v>50</v>
      </c>
      <c r="D14" t="s">
        <v>51</v>
      </c>
      <c r="E14" s="3">
        <v>78</v>
      </c>
      <c r="F14">
        <f t="shared" si="0"/>
        <v>1</v>
      </c>
    </row>
    <row r="15" spans="1:6" x14ac:dyDescent="0.3">
      <c r="A15">
        <v>1014</v>
      </c>
      <c r="B15" t="s">
        <v>21</v>
      </c>
      <c r="C15" t="s">
        <v>50</v>
      </c>
      <c r="D15" t="s">
        <v>51</v>
      </c>
      <c r="E15" s="3">
        <v>81</v>
      </c>
      <c r="F15">
        <f t="shared" si="0"/>
        <v>1</v>
      </c>
    </row>
    <row r="16" spans="1:6" x14ac:dyDescent="0.3">
      <c r="A16">
        <v>1015</v>
      </c>
      <c r="B16" t="s">
        <v>22</v>
      </c>
      <c r="C16" t="s">
        <v>50</v>
      </c>
      <c r="D16" t="s">
        <v>51</v>
      </c>
      <c r="E16" s="3">
        <v>40</v>
      </c>
      <c r="F16">
        <f t="shared" si="0"/>
        <v>0</v>
      </c>
    </row>
    <row r="17" spans="1:6" x14ac:dyDescent="0.3">
      <c r="A17">
        <v>1016</v>
      </c>
      <c r="B17" t="s">
        <v>23</v>
      </c>
      <c r="C17" t="s">
        <v>50</v>
      </c>
      <c r="D17" t="s">
        <v>51</v>
      </c>
      <c r="E17" s="3">
        <v>23</v>
      </c>
      <c r="F17">
        <f t="shared" si="0"/>
        <v>0</v>
      </c>
    </row>
    <row r="18" spans="1:6" x14ac:dyDescent="0.3">
      <c r="A18">
        <v>1017</v>
      </c>
      <c r="B18" t="s">
        <v>24</v>
      </c>
      <c r="C18" t="s">
        <v>50</v>
      </c>
      <c r="D18" t="s">
        <v>51</v>
      </c>
      <c r="E18" s="3">
        <v>65</v>
      </c>
      <c r="F18">
        <f t="shared" si="0"/>
        <v>1</v>
      </c>
    </row>
    <row r="19" spans="1:6" x14ac:dyDescent="0.3">
      <c r="A19">
        <v>1018</v>
      </c>
      <c r="B19" t="s">
        <v>25</v>
      </c>
      <c r="C19" t="s">
        <v>50</v>
      </c>
      <c r="D19" t="s">
        <v>51</v>
      </c>
      <c r="E19" s="3">
        <v>24</v>
      </c>
      <c r="F19">
        <f t="shared" si="0"/>
        <v>0</v>
      </c>
    </row>
    <row r="20" spans="1:6" x14ac:dyDescent="0.3">
      <c r="A20">
        <v>1019</v>
      </c>
      <c r="B20" t="s">
        <v>26</v>
      </c>
      <c r="C20" t="s">
        <v>50</v>
      </c>
      <c r="D20" t="s">
        <v>51</v>
      </c>
      <c r="E20" s="3">
        <v>62</v>
      </c>
      <c r="F20">
        <f t="shared" si="0"/>
        <v>1</v>
      </c>
    </row>
    <row r="21" spans="1:6" x14ac:dyDescent="0.3">
      <c r="A21">
        <v>1020</v>
      </c>
      <c r="B21" t="s">
        <v>27</v>
      </c>
      <c r="C21" t="s">
        <v>50</v>
      </c>
      <c r="D21" t="s">
        <v>51</v>
      </c>
      <c r="E21" s="3">
        <v>41</v>
      </c>
      <c r="F21">
        <f t="shared" si="0"/>
        <v>0</v>
      </c>
    </row>
    <row r="22" spans="1:6" x14ac:dyDescent="0.3">
      <c r="A22">
        <v>1021</v>
      </c>
      <c r="B22" t="s">
        <v>28</v>
      </c>
      <c r="C22" t="s">
        <v>50</v>
      </c>
      <c r="D22" t="s">
        <v>51</v>
      </c>
      <c r="E22" s="3">
        <v>42</v>
      </c>
      <c r="F22">
        <f t="shared" si="0"/>
        <v>0</v>
      </c>
    </row>
    <row r="23" spans="1:6" x14ac:dyDescent="0.3">
      <c r="A23">
        <v>1022</v>
      </c>
      <c r="B23" t="s">
        <v>29</v>
      </c>
      <c r="C23" t="s">
        <v>50</v>
      </c>
      <c r="D23" t="s">
        <v>51</v>
      </c>
      <c r="E23" s="3">
        <v>8</v>
      </c>
      <c r="F23">
        <f t="shared" si="0"/>
        <v>0</v>
      </c>
    </row>
    <row r="24" spans="1:6" x14ac:dyDescent="0.3">
      <c r="A24">
        <v>1023</v>
      </c>
      <c r="B24" t="s">
        <v>30</v>
      </c>
      <c r="C24" t="s">
        <v>50</v>
      </c>
      <c r="D24" t="s">
        <v>51</v>
      </c>
      <c r="E24" s="3">
        <v>91</v>
      </c>
      <c r="F24">
        <f t="shared" si="0"/>
        <v>1</v>
      </c>
    </row>
    <row r="25" spans="1:6" x14ac:dyDescent="0.3">
      <c r="A25">
        <v>1024</v>
      </c>
      <c r="B25" t="s">
        <v>31</v>
      </c>
      <c r="C25" t="s">
        <v>50</v>
      </c>
      <c r="D25" t="s">
        <v>51</v>
      </c>
      <c r="E25" s="3">
        <v>69</v>
      </c>
      <c r="F25">
        <f t="shared" si="0"/>
        <v>1</v>
      </c>
    </row>
    <row r="26" spans="1:6" x14ac:dyDescent="0.3">
      <c r="A26">
        <v>1025</v>
      </c>
      <c r="B26" t="s">
        <v>32</v>
      </c>
      <c r="C26" t="s">
        <v>50</v>
      </c>
      <c r="D26" t="s">
        <v>51</v>
      </c>
      <c r="E26" s="3">
        <v>47</v>
      </c>
      <c r="F26">
        <f t="shared" si="0"/>
        <v>0</v>
      </c>
    </row>
    <row r="27" spans="1:6" x14ac:dyDescent="0.3">
      <c r="A27">
        <v>1026</v>
      </c>
      <c r="B27" t="s">
        <v>33</v>
      </c>
      <c r="C27" t="s">
        <v>50</v>
      </c>
      <c r="D27" t="s">
        <v>51</v>
      </c>
      <c r="E27" s="3">
        <v>0</v>
      </c>
      <c r="F27">
        <f t="shared" si="0"/>
        <v>0</v>
      </c>
    </row>
    <row r="28" spans="1:6" x14ac:dyDescent="0.3">
      <c r="A28">
        <v>1027</v>
      </c>
      <c r="B28" t="s">
        <v>34</v>
      </c>
      <c r="C28" t="s">
        <v>50</v>
      </c>
      <c r="D28" t="s">
        <v>51</v>
      </c>
      <c r="E28" s="3">
        <v>42</v>
      </c>
      <c r="F28">
        <f t="shared" si="0"/>
        <v>0</v>
      </c>
    </row>
    <row r="29" spans="1:6" x14ac:dyDescent="0.3">
      <c r="A29">
        <v>1028</v>
      </c>
      <c r="B29" t="s">
        <v>35</v>
      </c>
      <c r="C29" t="s">
        <v>50</v>
      </c>
      <c r="D29" t="s">
        <v>51</v>
      </c>
      <c r="E29" s="3">
        <v>65</v>
      </c>
      <c r="F29">
        <f t="shared" si="0"/>
        <v>1</v>
      </c>
    </row>
    <row r="30" spans="1:6" x14ac:dyDescent="0.3">
      <c r="A30">
        <v>1029</v>
      </c>
      <c r="B30" t="s">
        <v>36</v>
      </c>
      <c r="C30" t="s">
        <v>50</v>
      </c>
      <c r="D30" t="s">
        <v>51</v>
      </c>
      <c r="E30" s="3">
        <v>42</v>
      </c>
      <c r="F30">
        <f t="shared" si="0"/>
        <v>0</v>
      </c>
    </row>
    <row r="31" spans="1:6" x14ac:dyDescent="0.3">
      <c r="A31">
        <v>1030</v>
      </c>
      <c r="B31" t="s">
        <v>37</v>
      </c>
      <c r="C31" t="s">
        <v>50</v>
      </c>
      <c r="D31" t="s">
        <v>51</v>
      </c>
      <c r="E31" s="3">
        <v>32</v>
      </c>
      <c r="F31">
        <f t="shared" si="0"/>
        <v>0</v>
      </c>
    </row>
    <row r="32" spans="1:6" x14ac:dyDescent="0.3">
      <c r="A32">
        <v>1031</v>
      </c>
      <c r="B32" t="s">
        <v>38</v>
      </c>
      <c r="C32" t="s">
        <v>50</v>
      </c>
      <c r="D32" t="s">
        <v>51</v>
      </c>
      <c r="E32" s="3">
        <v>33</v>
      </c>
      <c r="F32">
        <f t="shared" si="0"/>
        <v>0</v>
      </c>
    </row>
    <row r="33" spans="1:6" x14ac:dyDescent="0.3">
      <c r="A33">
        <v>1032</v>
      </c>
      <c r="B33" t="s">
        <v>39</v>
      </c>
      <c r="C33" t="s">
        <v>50</v>
      </c>
      <c r="D33" t="s">
        <v>51</v>
      </c>
      <c r="E33" s="3">
        <v>4</v>
      </c>
      <c r="F33">
        <f t="shared" si="0"/>
        <v>0</v>
      </c>
    </row>
    <row r="34" spans="1:6" x14ac:dyDescent="0.3">
      <c r="A34">
        <v>1033</v>
      </c>
      <c r="B34" t="s">
        <v>40</v>
      </c>
      <c r="C34" t="s">
        <v>50</v>
      </c>
      <c r="D34" t="s">
        <v>51</v>
      </c>
      <c r="E34" s="3">
        <v>27</v>
      </c>
      <c r="F34">
        <f t="shared" si="0"/>
        <v>0</v>
      </c>
    </row>
    <row r="35" spans="1:6" x14ac:dyDescent="0.3">
      <c r="A35">
        <v>1034</v>
      </c>
      <c r="B35" t="s">
        <v>41</v>
      </c>
      <c r="C35" t="s">
        <v>50</v>
      </c>
      <c r="D35" t="s">
        <v>51</v>
      </c>
      <c r="E35" s="3">
        <v>56</v>
      </c>
      <c r="F35">
        <f t="shared" si="0"/>
        <v>0</v>
      </c>
    </row>
    <row r="36" spans="1:6" x14ac:dyDescent="0.3">
      <c r="A36">
        <v>1035</v>
      </c>
      <c r="B36" t="s">
        <v>42</v>
      </c>
      <c r="C36" t="s">
        <v>50</v>
      </c>
      <c r="D36" t="s">
        <v>51</v>
      </c>
      <c r="E36" s="3">
        <v>36</v>
      </c>
      <c r="F36">
        <f t="shared" si="0"/>
        <v>0</v>
      </c>
    </row>
    <row r="37" spans="1:6" x14ac:dyDescent="0.3">
      <c r="A37">
        <v>1036</v>
      </c>
      <c r="B37" t="s">
        <v>43</v>
      </c>
      <c r="C37" t="s">
        <v>50</v>
      </c>
      <c r="D37" t="s">
        <v>51</v>
      </c>
      <c r="E37" s="3">
        <v>51</v>
      </c>
      <c r="F37">
        <f t="shared" si="0"/>
        <v>0</v>
      </c>
    </row>
    <row r="38" spans="1:6" x14ac:dyDescent="0.3">
      <c r="A38">
        <v>1037</v>
      </c>
      <c r="B38" t="s">
        <v>44</v>
      </c>
      <c r="C38" t="s">
        <v>50</v>
      </c>
      <c r="D38" t="s">
        <v>51</v>
      </c>
      <c r="E38" s="3">
        <v>71</v>
      </c>
      <c r="F38">
        <f t="shared" si="0"/>
        <v>1</v>
      </c>
    </row>
    <row r="39" spans="1:6" x14ac:dyDescent="0.3">
      <c r="A39">
        <v>1038</v>
      </c>
      <c r="B39" t="s">
        <v>45</v>
      </c>
      <c r="C39" t="s">
        <v>50</v>
      </c>
      <c r="D39" t="s">
        <v>51</v>
      </c>
      <c r="E39" s="3">
        <v>52</v>
      </c>
      <c r="F39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C2" sqref="C2"/>
    </sheetView>
  </sheetViews>
  <sheetFormatPr defaultRowHeight="14.4" x14ac:dyDescent="0.3"/>
  <cols>
    <col min="2" max="2" width="21.109375" customWidth="1"/>
    <col min="3" max="3" width="16" customWidth="1"/>
    <col min="4" max="4" width="13.44140625" customWidth="1"/>
    <col min="5" max="5" width="19.33203125" customWidth="1"/>
    <col min="6" max="6" width="19.109375" customWidth="1"/>
    <col min="7" max="7" width="11.6640625" customWidth="1"/>
  </cols>
  <sheetData>
    <row r="1" spans="1:6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1001</v>
      </c>
      <c r="B2" t="s">
        <v>6</v>
      </c>
      <c r="C2" t="s">
        <v>52</v>
      </c>
      <c r="D2" t="s">
        <v>53</v>
      </c>
      <c r="E2" s="3">
        <v>69</v>
      </c>
      <c r="F2">
        <f>IF(E2&gt;=60,1,0)</f>
        <v>1</v>
      </c>
    </row>
    <row r="3" spans="1:6" x14ac:dyDescent="0.3">
      <c r="A3">
        <v>1002</v>
      </c>
      <c r="B3" t="s">
        <v>9</v>
      </c>
      <c r="C3" t="s">
        <v>52</v>
      </c>
      <c r="D3" t="s">
        <v>53</v>
      </c>
      <c r="E3" s="3">
        <v>95</v>
      </c>
      <c r="F3">
        <f t="shared" ref="F3:F22" si="0">IF(E3&gt;=60,1,0)</f>
        <v>1</v>
      </c>
    </row>
    <row r="4" spans="1:6" x14ac:dyDescent="0.3">
      <c r="A4">
        <v>1003</v>
      </c>
      <c r="B4" t="s">
        <v>10</v>
      </c>
      <c r="C4" t="s">
        <v>52</v>
      </c>
      <c r="D4" t="s">
        <v>53</v>
      </c>
      <c r="E4" s="3">
        <v>33</v>
      </c>
      <c r="F4">
        <f t="shared" si="0"/>
        <v>0</v>
      </c>
    </row>
    <row r="5" spans="1:6" x14ac:dyDescent="0.3">
      <c r="A5">
        <v>1004</v>
      </c>
      <c r="B5" t="s">
        <v>11</v>
      </c>
      <c r="C5" t="s">
        <v>52</v>
      </c>
      <c r="D5" t="s">
        <v>53</v>
      </c>
      <c r="E5" s="3">
        <v>76</v>
      </c>
      <c r="F5">
        <f t="shared" si="0"/>
        <v>1</v>
      </c>
    </row>
    <row r="6" spans="1:6" x14ac:dyDescent="0.3">
      <c r="A6">
        <v>1005</v>
      </c>
      <c r="B6" t="s">
        <v>12</v>
      </c>
      <c r="C6" t="s">
        <v>52</v>
      </c>
      <c r="D6" t="s">
        <v>53</v>
      </c>
      <c r="E6" s="3">
        <v>20</v>
      </c>
      <c r="F6">
        <f t="shared" si="0"/>
        <v>0</v>
      </c>
    </row>
    <row r="7" spans="1:6" x14ac:dyDescent="0.3">
      <c r="A7">
        <v>1006</v>
      </c>
      <c r="B7" t="s">
        <v>13</v>
      </c>
      <c r="C7" t="s">
        <v>52</v>
      </c>
      <c r="D7" t="s">
        <v>53</v>
      </c>
      <c r="E7" s="3">
        <v>10</v>
      </c>
      <c r="F7">
        <f t="shared" si="0"/>
        <v>0</v>
      </c>
    </row>
    <row r="8" spans="1:6" x14ac:dyDescent="0.3">
      <c r="A8">
        <v>1007</v>
      </c>
      <c r="B8" t="s">
        <v>14</v>
      </c>
      <c r="C8" t="s">
        <v>52</v>
      </c>
      <c r="D8" t="s">
        <v>53</v>
      </c>
      <c r="E8" s="3">
        <v>72</v>
      </c>
      <c r="F8">
        <f t="shared" si="0"/>
        <v>1</v>
      </c>
    </row>
    <row r="9" spans="1:6" x14ac:dyDescent="0.3">
      <c r="A9">
        <v>1008</v>
      </c>
      <c r="B9" t="s">
        <v>15</v>
      </c>
      <c r="C9" t="s">
        <v>52</v>
      </c>
      <c r="D9" t="s">
        <v>53</v>
      </c>
      <c r="E9" s="3">
        <v>80</v>
      </c>
      <c r="F9">
        <f t="shared" si="0"/>
        <v>1</v>
      </c>
    </row>
    <row r="10" spans="1:6" x14ac:dyDescent="0.3">
      <c r="A10">
        <v>1009</v>
      </c>
      <c r="B10" t="s">
        <v>16</v>
      </c>
      <c r="C10" t="s">
        <v>52</v>
      </c>
      <c r="D10" t="s">
        <v>53</v>
      </c>
      <c r="E10" s="3">
        <v>22</v>
      </c>
      <c r="F10">
        <f t="shared" si="0"/>
        <v>0</v>
      </c>
    </row>
    <row r="11" spans="1:6" x14ac:dyDescent="0.3">
      <c r="A11">
        <v>1010</v>
      </c>
      <c r="B11" t="s">
        <v>17</v>
      </c>
      <c r="C11" t="s">
        <v>52</v>
      </c>
      <c r="D11" t="s">
        <v>53</v>
      </c>
      <c r="E11" s="3">
        <v>8</v>
      </c>
      <c r="F11">
        <f t="shared" si="0"/>
        <v>0</v>
      </c>
    </row>
    <row r="12" spans="1:6" x14ac:dyDescent="0.3">
      <c r="A12">
        <v>1011</v>
      </c>
      <c r="B12" t="s">
        <v>18</v>
      </c>
      <c r="C12" t="s">
        <v>52</v>
      </c>
      <c r="D12" t="s">
        <v>53</v>
      </c>
      <c r="E12" s="3">
        <v>100</v>
      </c>
      <c r="F12">
        <f t="shared" si="0"/>
        <v>1</v>
      </c>
    </row>
    <row r="13" spans="1:6" x14ac:dyDescent="0.3">
      <c r="A13">
        <v>1012</v>
      </c>
      <c r="B13" t="s">
        <v>19</v>
      </c>
      <c r="C13" t="s">
        <v>52</v>
      </c>
      <c r="D13" t="s">
        <v>53</v>
      </c>
      <c r="E13" s="3">
        <v>49</v>
      </c>
      <c r="F13">
        <f t="shared" si="0"/>
        <v>0</v>
      </c>
    </row>
    <row r="14" spans="1:6" x14ac:dyDescent="0.3">
      <c r="A14">
        <v>1013</v>
      </c>
      <c r="B14" t="s">
        <v>20</v>
      </c>
      <c r="C14" t="s">
        <v>52</v>
      </c>
      <c r="D14" t="s">
        <v>53</v>
      </c>
      <c r="E14" s="3">
        <v>70</v>
      </c>
      <c r="F14">
        <f t="shared" si="0"/>
        <v>1</v>
      </c>
    </row>
    <row r="15" spans="1:6" x14ac:dyDescent="0.3">
      <c r="A15">
        <v>1014</v>
      </c>
      <c r="B15" t="s">
        <v>21</v>
      </c>
      <c r="C15" t="s">
        <v>52</v>
      </c>
      <c r="D15" t="s">
        <v>53</v>
      </c>
      <c r="E15" s="3">
        <v>86</v>
      </c>
      <c r="F15">
        <f t="shared" si="0"/>
        <v>1</v>
      </c>
    </row>
    <row r="16" spans="1:6" x14ac:dyDescent="0.3">
      <c r="A16">
        <v>1015</v>
      </c>
      <c r="B16" t="s">
        <v>22</v>
      </c>
      <c r="C16" t="s">
        <v>52</v>
      </c>
      <c r="D16" t="s">
        <v>53</v>
      </c>
      <c r="E16" s="3">
        <v>15</v>
      </c>
      <c r="F16">
        <f t="shared" si="0"/>
        <v>0</v>
      </c>
    </row>
    <row r="17" spans="1:6" x14ac:dyDescent="0.3">
      <c r="A17">
        <v>1016</v>
      </c>
      <c r="B17" t="s">
        <v>23</v>
      </c>
      <c r="C17" t="s">
        <v>52</v>
      </c>
      <c r="D17" t="s">
        <v>53</v>
      </c>
      <c r="E17" s="3">
        <v>95</v>
      </c>
      <c r="F17">
        <f t="shared" si="0"/>
        <v>1</v>
      </c>
    </row>
    <row r="18" spans="1:6" x14ac:dyDescent="0.3">
      <c r="A18">
        <v>1017</v>
      </c>
      <c r="B18" t="s">
        <v>24</v>
      </c>
      <c r="C18" t="s">
        <v>52</v>
      </c>
      <c r="D18" t="s">
        <v>53</v>
      </c>
      <c r="E18" s="3">
        <v>77</v>
      </c>
      <c r="F18">
        <f t="shared" si="0"/>
        <v>1</v>
      </c>
    </row>
    <row r="19" spans="1:6" x14ac:dyDescent="0.3">
      <c r="A19">
        <v>1018</v>
      </c>
      <c r="B19" t="s">
        <v>25</v>
      </c>
      <c r="C19" t="s">
        <v>52</v>
      </c>
      <c r="D19" t="s">
        <v>53</v>
      </c>
      <c r="E19" s="3">
        <v>20</v>
      </c>
      <c r="F19">
        <f t="shared" si="0"/>
        <v>0</v>
      </c>
    </row>
    <row r="20" spans="1:6" x14ac:dyDescent="0.3">
      <c r="A20">
        <v>1019</v>
      </c>
      <c r="B20" t="s">
        <v>26</v>
      </c>
      <c r="C20" t="s">
        <v>52</v>
      </c>
      <c r="D20" t="s">
        <v>53</v>
      </c>
      <c r="E20" s="3">
        <v>31</v>
      </c>
      <c r="F20">
        <f t="shared" si="0"/>
        <v>0</v>
      </c>
    </row>
    <row r="21" spans="1:6" x14ac:dyDescent="0.3">
      <c r="A21">
        <v>1020</v>
      </c>
      <c r="B21" t="s">
        <v>27</v>
      </c>
      <c r="C21" t="s">
        <v>52</v>
      </c>
      <c r="D21" t="s">
        <v>53</v>
      </c>
      <c r="E21" s="3">
        <v>48</v>
      </c>
      <c r="F21">
        <f t="shared" si="0"/>
        <v>0</v>
      </c>
    </row>
    <row r="22" spans="1:6" x14ac:dyDescent="0.3">
      <c r="A22">
        <v>1021</v>
      </c>
      <c r="B22" t="s">
        <v>28</v>
      </c>
      <c r="C22" t="s">
        <v>52</v>
      </c>
      <c r="D22" t="s">
        <v>53</v>
      </c>
      <c r="E22" s="3">
        <v>26</v>
      </c>
      <c r="F22">
        <f t="shared" si="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4" workbookViewId="0">
      <selection activeCell="F29" sqref="F29"/>
    </sheetView>
  </sheetViews>
  <sheetFormatPr defaultRowHeight="14.4" x14ac:dyDescent="0.3"/>
  <cols>
    <col min="1" max="1" width="14.5546875" customWidth="1"/>
    <col min="2" max="3" width="14.6640625" customWidth="1"/>
    <col min="4" max="4" width="13" customWidth="1"/>
    <col min="5" max="5" width="13.88671875" customWidth="1"/>
    <col min="6" max="6" width="17.33203125" customWidth="1"/>
  </cols>
  <sheetData>
    <row r="1" spans="1:6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1001</v>
      </c>
      <c r="B2" t="s">
        <v>6</v>
      </c>
      <c r="C2" t="s">
        <v>54</v>
      </c>
      <c r="D2" t="s">
        <v>55</v>
      </c>
      <c r="E2" s="3">
        <v>70</v>
      </c>
      <c r="F2">
        <f>IF(E2&gt;=60,1,0)</f>
        <v>1</v>
      </c>
    </row>
    <row r="3" spans="1:6" x14ac:dyDescent="0.3">
      <c r="A3">
        <v>1002</v>
      </c>
      <c r="B3" t="s">
        <v>9</v>
      </c>
      <c r="C3" t="s">
        <v>54</v>
      </c>
      <c r="D3" t="s">
        <v>55</v>
      </c>
      <c r="E3" s="3">
        <v>37</v>
      </c>
      <c r="F3">
        <f t="shared" ref="F3:F40" si="0">IF(E3&gt;=60,1,0)</f>
        <v>0</v>
      </c>
    </row>
    <row r="4" spans="1:6" x14ac:dyDescent="0.3">
      <c r="A4">
        <v>1003</v>
      </c>
      <c r="B4" t="s">
        <v>10</v>
      </c>
      <c r="C4" t="s">
        <v>54</v>
      </c>
      <c r="D4" t="s">
        <v>55</v>
      </c>
      <c r="E4" s="3">
        <v>68</v>
      </c>
      <c r="F4">
        <f t="shared" si="0"/>
        <v>1</v>
      </c>
    </row>
    <row r="5" spans="1:6" x14ac:dyDescent="0.3">
      <c r="A5">
        <v>1004</v>
      </c>
      <c r="B5" t="s">
        <v>11</v>
      </c>
      <c r="C5" t="s">
        <v>54</v>
      </c>
      <c r="D5" t="s">
        <v>55</v>
      </c>
      <c r="E5" s="3">
        <v>60</v>
      </c>
      <c r="F5">
        <f t="shared" si="0"/>
        <v>1</v>
      </c>
    </row>
    <row r="6" spans="1:6" x14ac:dyDescent="0.3">
      <c r="A6">
        <v>1005</v>
      </c>
      <c r="B6" t="s">
        <v>12</v>
      </c>
      <c r="C6" t="s">
        <v>54</v>
      </c>
      <c r="D6" t="s">
        <v>55</v>
      </c>
      <c r="E6" s="3">
        <v>98</v>
      </c>
      <c r="F6">
        <f t="shared" si="0"/>
        <v>1</v>
      </c>
    </row>
    <row r="7" spans="1:6" x14ac:dyDescent="0.3">
      <c r="A7">
        <v>1006</v>
      </c>
      <c r="B7" t="s">
        <v>13</v>
      </c>
      <c r="C7" t="s">
        <v>54</v>
      </c>
      <c r="D7" t="s">
        <v>55</v>
      </c>
      <c r="E7" s="3">
        <v>20</v>
      </c>
      <c r="F7">
        <f t="shared" si="0"/>
        <v>0</v>
      </c>
    </row>
    <row r="8" spans="1:6" x14ac:dyDescent="0.3">
      <c r="A8">
        <v>1007</v>
      </c>
      <c r="B8" t="s">
        <v>14</v>
      </c>
      <c r="C8" t="s">
        <v>54</v>
      </c>
      <c r="D8" t="s">
        <v>55</v>
      </c>
      <c r="E8" s="3">
        <v>32</v>
      </c>
      <c r="F8">
        <f t="shared" si="0"/>
        <v>0</v>
      </c>
    </row>
    <row r="9" spans="1:6" x14ac:dyDescent="0.3">
      <c r="A9">
        <v>1008</v>
      </c>
      <c r="B9" t="s">
        <v>15</v>
      </c>
      <c r="C9" t="s">
        <v>54</v>
      </c>
      <c r="D9" t="s">
        <v>55</v>
      </c>
      <c r="E9" s="3">
        <v>40</v>
      </c>
      <c r="F9">
        <f t="shared" si="0"/>
        <v>0</v>
      </c>
    </row>
    <row r="10" spans="1:6" x14ac:dyDescent="0.3">
      <c r="A10">
        <v>1009</v>
      </c>
      <c r="B10" t="s">
        <v>16</v>
      </c>
      <c r="C10" t="s">
        <v>54</v>
      </c>
      <c r="D10" t="s">
        <v>55</v>
      </c>
      <c r="E10" s="3">
        <v>97</v>
      </c>
      <c r="F10">
        <f t="shared" si="0"/>
        <v>1</v>
      </c>
    </row>
    <row r="11" spans="1:6" x14ac:dyDescent="0.3">
      <c r="A11">
        <v>1010</v>
      </c>
      <c r="B11" t="s">
        <v>17</v>
      </c>
      <c r="C11" t="s">
        <v>54</v>
      </c>
      <c r="D11" t="s">
        <v>55</v>
      </c>
      <c r="E11" s="3">
        <v>1</v>
      </c>
      <c r="F11">
        <f t="shared" si="0"/>
        <v>0</v>
      </c>
    </row>
    <row r="12" spans="1:6" x14ac:dyDescent="0.3">
      <c r="A12">
        <v>1011</v>
      </c>
      <c r="B12" t="s">
        <v>18</v>
      </c>
      <c r="C12" t="s">
        <v>54</v>
      </c>
      <c r="D12" t="s">
        <v>55</v>
      </c>
      <c r="E12" s="3">
        <v>6</v>
      </c>
      <c r="F12">
        <f t="shared" si="0"/>
        <v>0</v>
      </c>
    </row>
    <row r="13" spans="1:6" x14ac:dyDescent="0.3">
      <c r="A13">
        <v>1012</v>
      </c>
      <c r="B13" t="s">
        <v>19</v>
      </c>
      <c r="C13" t="s">
        <v>54</v>
      </c>
      <c r="D13" t="s">
        <v>55</v>
      </c>
      <c r="E13" s="3">
        <v>39</v>
      </c>
      <c r="F13">
        <f t="shared" si="0"/>
        <v>0</v>
      </c>
    </row>
    <row r="14" spans="1:6" x14ac:dyDescent="0.3">
      <c r="A14">
        <v>1013</v>
      </c>
      <c r="B14" t="s">
        <v>20</v>
      </c>
      <c r="C14" t="s">
        <v>54</v>
      </c>
      <c r="D14" t="s">
        <v>55</v>
      </c>
      <c r="E14" s="3">
        <v>68</v>
      </c>
      <c r="F14">
        <f t="shared" si="0"/>
        <v>1</v>
      </c>
    </row>
    <row r="15" spans="1:6" x14ac:dyDescent="0.3">
      <c r="A15">
        <v>1014</v>
      </c>
      <c r="B15" t="s">
        <v>21</v>
      </c>
      <c r="C15" t="s">
        <v>54</v>
      </c>
      <c r="D15" t="s">
        <v>55</v>
      </c>
      <c r="E15" s="3">
        <v>37</v>
      </c>
      <c r="F15">
        <f t="shared" si="0"/>
        <v>0</v>
      </c>
    </row>
    <row r="16" spans="1:6" x14ac:dyDescent="0.3">
      <c r="A16">
        <v>1015</v>
      </c>
      <c r="B16" t="s">
        <v>22</v>
      </c>
      <c r="C16" t="s">
        <v>54</v>
      </c>
      <c r="D16" t="s">
        <v>55</v>
      </c>
      <c r="E16" s="3">
        <v>37</v>
      </c>
      <c r="F16">
        <f t="shared" si="0"/>
        <v>0</v>
      </c>
    </row>
    <row r="17" spans="1:6" x14ac:dyDescent="0.3">
      <c r="A17">
        <v>1016</v>
      </c>
      <c r="B17" t="s">
        <v>23</v>
      </c>
      <c r="C17" t="s">
        <v>54</v>
      </c>
      <c r="D17" t="s">
        <v>55</v>
      </c>
      <c r="E17" s="3">
        <v>90</v>
      </c>
      <c r="F17">
        <f t="shared" si="0"/>
        <v>1</v>
      </c>
    </row>
    <row r="18" spans="1:6" x14ac:dyDescent="0.3">
      <c r="A18">
        <v>1017</v>
      </c>
      <c r="B18" t="s">
        <v>24</v>
      </c>
      <c r="C18" t="s">
        <v>54</v>
      </c>
      <c r="D18" t="s">
        <v>55</v>
      </c>
      <c r="E18" s="3">
        <v>38</v>
      </c>
      <c r="F18">
        <f t="shared" si="0"/>
        <v>0</v>
      </c>
    </row>
    <row r="19" spans="1:6" x14ac:dyDescent="0.3">
      <c r="A19">
        <v>1018</v>
      </c>
      <c r="B19" t="s">
        <v>25</v>
      </c>
      <c r="C19" t="s">
        <v>54</v>
      </c>
      <c r="D19" t="s">
        <v>55</v>
      </c>
      <c r="E19" s="3">
        <v>87</v>
      </c>
      <c r="F19">
        <f t="shared" si="0"/>
        <v>1</v>
      </c>
    </row>
    <row r="20" spans="1:6" x14ac:dyDescent="0.3">
      <c r="A20">
        <v>1019</v>
      </c>
      <c r="B20" t="s">
        <v>26</v>
      </c>
      <c r="C20" t="s">
        <v>54</v>
      </c>
      <c r="D20" t="s">
        <v>55</v>
      </c>
      <c r="E20" s="3">
        <v>45</v>
      </c>
      <c r="F20">
        <f t="shared" si="0"/>
        <v>0</v>
      </c>
    </row>
    <row r="21" spans="1:6" x14ac:dyDescent="0.3">
      <c r="A21">
        <v>1020</v>
      </c>
      <c r="B21" t="s">
        <v>27</v>
      </c>
      <c r="C21" t="s">
        <v>54</v>
      </c>
      <c r="D21" t="s">
        <v>55</v>
      </c>
      <c r="E21" s="3">
        <v>73</v>
      </c>
      <c r="F21">
        <f t="shared" si="0"/>
        <v>1</v>
      </c>
    </row>
    <row r="22" spans="1:6" x14ac:dyDescent="0.3">
      <c r="A22">
        <v>1021</v>
      </c>
      <c r="B22" t="s">
        <v>28</v>
      </c>
      <c r="C22" t="s">
        <v>54</v>
      </c>
      <c r="D22" t="s">
        <v>55</v>
      </c>
      <c r="E22" s="3">
        <v>36</v>
      </c>
      <c r="F22">
        <f t="shared" si="0"/>
        <v>0</v>
      </c>
    </row>
    <row r="23" spans="1:6" x14ac:dyDescent="0.3">
      <c r="A23">
        <v>1022</v>
      </c>
      <c r="B23" t="s">
        <v>29</v>
      </c>
      <c r="C23" t="s">
        <v>54</v>
      </c>
      <c r="D23" t="s">
        <v>55</v>
      </c>
      <c r="E23" s="3">
        <v>35</v>
      </c>
      <c r="F23">
        <f t="shared" si="0"/>
        <v>0</v>
      </c>
    </row>
    <row r="24" spans="1:6" x14ac:dyDescent="0.3">
      <c r="A24">
        <v>1023</v>
      </c>
      <c r="B24" t="s">
        <v>30</v>
      </c>
      <c r="C24" t="s">
        <v>54</v>
      </c>
      <c r="D24" t="s">
        <v>55</v>
      </c>
      <c r="E24" s="3">
        <v>85</v>
      </c>
      <c r="F24">
        <f t="shared" si="0"/>
        <v>1</v>
      </c>
    </row>
    <row r="25" spans="1:6" x14ac:dyDescent="0.3">
      <c r="A25">
        <v>1024</v>
      </c>
      <c r="B25" t="s">
        <v>31</v>
      </c>
      <c r="C25" t="s">
        <v>54</v>
      </c>
      <c r="D25" t="s">
        <v>55</v>
      </c>
      <c r="E25" s="3">
        <v>7</v>
      </c>
      <c r="F25">
        <f t="shared" si="0"/>
        <v>0</v>
      </c>
    </row>
    <row r="26" spans="1:6" x14ac:dyDescent="0.3">
      <c r="A26">
        <v>1025</v>
      </c>
      <c r="B26" t="s">
        <v>32</v>
      </c>
      <c r="C26" t="s">
        <v>54</v>
      </c>
      <c r="D26" t="s">
        <v>55</v>
      </c>
      <c r="E26" s="3">
        <v>67</v>
      </c>
      <c r="F26">
        <f t="shared" si="0"/>
        <v>1</v>
      </c>
    </row>
    <row r="27" spans="1:6" x14ac:dyDescent="0.3">
      <c r="A27">
        <v>1026</v>
      </c>
      <c r="B27" t="s">
        <v>33</v>
      </c>
      <c r="C27" t="s">
        <v>54</v>
      </c>
      <c r="D27" t="s">
        <v>55</v>
      </c>
      <c r="E27" s="3">
        <v>80</v>
      </c>
      <c r="F27">
        <f t="shared" si="0"/>
        <v>1</v>
      </c>
    </row>
    <row r="28" spans="1:6" x14ac:dyDescent="0.3">
      <c r="A28">
        <v>1027</v>
      </c>
      <c r="B28" t="s">
        <v>34</v>
      </c>
      <c r="C28" t="s">
        <v>54</v>
      </c>
      <c r="D28" t="s">
        <v>55</v>
      </c>
      <c r="E28" s="3">
        <v>55</v>
      </c>
      <c r="F28">
        <f t="shared" si="0"/>
        <v>0</v>
      </c>
    </row>
    <row r="29" spans="1:6" x14ac:dyDescent="0.3">
      <c r="A29">
        <v>1028</v>
      </c>
      <c r="B29" t="s">
        <v>35</v>
      </c>
      <c r="C29" t="s">
        <v>54</v>
      </c>
      <c r="D29" t="s">
        <v>55</v>
      </c>
      <c r="E29" s="3">
        <v>83</v>
      </c>
      <c r="F29">
        <f t="shared" si="0"/>
        <v>1</v>
      </c>
    </row>
    <row r="30" spans="1:6" x14ac:dyDescent="0.3">
      <c r="A30">
        <v>1029</v>
      </c>
      <c r="B30" t="s">
        <v>36</v>
      </c>
      <c r="C30" t="s">
        <v>54</v>
      </c>
      <c r="D30" t="s">
        <v>55</v>
      </c>
      <c r="E30" s="3">
        <v>67</v>
      </c>
      <c r="F30">
        <f t="shared" si="0"/>
        <v>1</v>
      </c>
    </row>
    <row r="31" spans="1:6" x14ac:dyDescent="0.3">
      <c r="A31">
        <v>1030</v>
      </c>
      <c r="B31" t="s">
        <v>37</v>
      </c>
      <c r="C31" t="s">
        <v>54</v>
      </c>
      <c r="D31" t="s">
        <v>55</v>
      </c>
      <c r="E31" s="3">
        <v>27</v>
      </c>
      <c r="F31">
        <f t="shared" si="0"/>
        <v>0</v>
      </c>
    </row>
    <row r="32" spans="1:6" x14ac:dyDescent="0.3">
      <c r="A32">
        <v>1031</v>
      </c>
      <c r="B32" t="s">
        <v>38</v>
      </c>
      <c r="C32" t="s">
        <v>54</v>
      </c>
      <c r="D32" t="s">
        <v>55</v>
      </c>
      <c r="E32" s="3">
        <v>94</v>
      </c>
      <c r="F32">
        <f t="shared" si="0"/>
        <v>1</v>
      </c>
    </row>
    <row r="33" spans="1:6" x14ac:dyDescent="0.3">
      <c r="A33">
        <v>1032</v>
      </c>
      <c r="B33" t="s">
        <v>39</v>
      </c>
      <c r="C33" t="s">
        <v>54</v>
      </c>
      <c r="D33" t="s">
        <v>55</v>
      </c>
      <c r="E33" s="3">
        <v>96</v>
      </c>
      <c r="F33">
        <f t="shared" si="0"/>
        <v>1</v>
      </c>
    </row>
    <row r="34" spans="1:6" x14ac:dyDescent="0.3">
      <c r="A34">
        <v>1033</v>
      </c>
      <c r="B34" t="s">
        <v>40</v>
      </c>
      <c r="C34" t="s">
        <v>54</v>
      </c>
      <c r="D34" t="s">
        <v>55</v>
      </c>
      <c r="E34" s="3">
        <v>99</v>
      </c>
      <c r="F34">
        <f t="shared" si="0"/>
        <v>1</v>
      </c>
    </row>
    <row r="35" spans="1:6" x14ac:dyDescent="0.3">
      <c r="A35">
        <v>1034</v>
      </c>
      <c r="B35" t="s">
        <v>41</v>
      </c>
      <c r="C35" t="s">
        <v>54</v>
      </c>
      <c r="D35" t="s">
        <v>55</v>
      </c>
      <c r="E35" s="3">
        <v>64</v>
      </c>
      <c r="F35">
        <f t="shared" si="0"/>
        <v>1</v>
      </c>
    </row>
    <row r="36" spans="1:6" x14ac:dyDescent="0.3">
      <c r="A36">
        <v>1035</v>
      </c>
      <c r="B36" t="s">
        <v>42</v>
      </c>
      <c r="C36" t="s">
        <v>54</v>
      </c>
      <c r="D36" t="s">
        <v>55</v>
      </c>
      <c r="E36" s="3">
        <v>52</v>
      </c>
      <c r="F36">
        <f t="shared" si="0"/>
        <v>0</v>
      </c>
    </row>
    <row r="37" spans="1:6" x14ac:dyDescent="0.3">
      <c r="A37">
        <v>1036</v>
      </c>
      <c r="B37" t="s">
        <v>43</v>
      </c>
      <c r="C37" t="s">
        <v>54</v>
      </c>
      <c r="D37" t="s">
        <v>55</v>
      </c>
      <c r="E37" s="3">
        <v>16</v>
      </c>
      <c r="F37">
        <f t="shared" si="0"/>
        <v>0</v>
      </c>
    </row>
    <row r="38" spans="1:6" x14ac:dyDescent="0.3">
      <c r="A38">
        <v>1037</v>
      </c>
      <c r="B38" t="s">
        <v>44</v>
      </c>
      <c r="C38" t="s">
        <v>54</v>
      </c>
      <c r="D38" t="s">
        <v>55</v>
      </c>
      <c r="E38" s="3">
        <v>34</v>
      </c>
      <c r="F38">
        <f t="shared" si="0"/>
        <v>0</v>
      </c>
    </row>
    <row r="39" spans="1:6" x14ac:dyDescent="0.3">
      <c r="A39">
        <v>1038</v>
      </c>
      <c r="B39" t="s">
        <v>45</v>
      </c>
      <c r="C39" t="s">
        <v>54</v>
      </c>
      <c r="D39" t="s">
        <v>55</v>
      </c>
      <c r="E39" s="3">
        <v>76</v>
      </c>
      <c r="F39">
        <f t="shared" si="0"/>
        <v>1</v>
      </c>
    </row>
    <row r="40" spans="1:6" x14ac:dyDescent="0.3">
      <c r="A40">
        <v>1039</v>
      </c>
      <c r="B40" t="s">
        <v>56</v>
      </c>
      <c r="C40" t="s">
        <v>54</v>
      </c>
      <c r="D40" t="s">
        <v>55</v>
      </c>
      <c r="E40" s="3">
        <v>96</v>
      </c>
      <c r="F40">
        <f t="shared" si="0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" sqref="B4"/>
    </sheetView>
  </sheetViews>
  <sheetFormatPr defaultRowHeight="14.4" x14ac:dyDescent="0.3"/>
  <cols>
    <col min="1" max="1" width="27.109375" bestFit="1" customWidth="1"/>
    <col min="2" max="2" width="19.33203125" bestFit="1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workbookViewId="0">
      <selection activeCell="G1" sqref="G1"/>
    </sheetView>
  </sheetViews>
  <sheetFormatPr defaultRowHeight="14.4" x14ac:dyDescent="0.3"/>
  <cols>
    <col min="1" max="1" width="17.5546875" customWidth="1"/>
    <col min="6" max="6" width="17.109375" customWidth="1"/>
    <col min="7" max="7" width="17.44140625" customWidth="1"/>
    <col min="8" max="8" width="12.88671875" customWidth="1"/>
    <col min="9" max="9" width="13.33203125" customWidth="1"/>
    <col min="10" max="10" width="17.44140625" customWidth="1"/>
    <col min="11" max="11" width="12.88671875" customWidth="1"/>
    <col min="13" max="13" width="11.33203125" customWidth="1"/>
    <col min="14" max="14" width="14.6640625" customWidth="1"/>
    <col min="15" max="15" width="11.109375" customWidth="1"/>
    <col min="16" max="16" width="11.6640625" customWidth="1"/>
    <col min="19" max="19" width="14.88671875" customWidth="1"/>
    <col min="20" max="20" width="19.88671875" customWidth="1"/>
    <col min="21" max="21" width="22.33203125" customWidth="1"/>
  </cols>
  <sheetData>
    <row r="1" spans="1:19" x14ac:dyDescent="0.3">
      <c r="A1" s="1" t="s">
        <v>1</v>
      </c>
      <c r="B1" t="s">
        <v>0</v>
      </c>
      <c r="C1" t="s">
        <v>57</v>
      </c>
      <c r="D1" t="s">
        <v>58</v>
      </c>
      <c r="E1" t="s">
        <v>59</v>
      </c>
      <c r="F1" t="s">
        <v>60</v>
      </c>
      <c r="G1" s="4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</row>
    <row r="2" spans="1:19" x14ac:dyDescent="0.3">
      <c r="A2" t="s">
        <v>6</v>
      </c>
      <c r="B2">
        <v>1001</v>
      </c>
      <c r="C2">
        <v>17</v>
      </c>
      <c r="D2">
        <v>1</v>
      </c>
      <c r="E2">
        <v>0</v>
      </c>
      <c r="F2">
        <v>2</v>
      </c>
      <c r="G2">
        <v>19.833722807854699</v>
      </c>
      <c r="H2">
        <v>7</v>
      </c>
      <c r="I2">
        <v>1</v>
      </c>
      <c r="J2">
        <v>2</v>
      </c>
      <c r="K2">
        <v>0</v>
      </c>
      <c r="L2">
        <v>0</v>
      </c>
      <c r="M2">
        <v>1</v>
      </c>
      <c r="N2">
        <v>0</v>
      </c>
      <c r="O2">
        <v>2.9291955916676802</v>
      </c>
      <c r="P2">
        <v>2</v>
      </c>
    </row>
    <row r="3" spans="1:19" x14ac:dyDescent="0.3">
      <c r="A3" t="s">
        <v>9</v>
      </c>
      <c r="B3">
        <v>1002</v>
      </c>
      <c r="C3">
        <v>18</v>
      </c>
      <c r="D3">
        <v>0</v>
      </c>
      <c r="E3">
        <v>0</v>
      </c>
      <c r="F3">
        <v>1</v>
      </c>
      <c r="G3">
        <v>15.4087560558467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3.0429148334363698</v>
      </c>
      <c r="P3">
        <v>1</v>
      </c>
    </row>
    <row r="4" spans="1:19" x14ac:dyDescent="0.3">
      <c r="A4" t="s">
        <v>10</v>
      </c>
      <c r="B4">
        <v>1003</v>
      </c>
      <c r="C4">
        <v>15</v>
      </c>
      <c r="D4">
        <v>0</v>
      </c>
      <c r="E4">
        <v>2</v>
      </c>
      <c r="F4">
        <v>3</v>
      </c>
      <c r="G4">
        <v>4.2105697688122596</v>
      </c>
      <c r="H4">
        <v>26</v>
      </c>
      <c r="I4">
        <v>0</v>
      </c>
      <c r="J4">
        <v>2</v>
      </c>
      <c r="K4">
        <v>0</v>
      </c>
      <c r="L4">
        <v>0</v>
      </c>
      <c r="M4">
        <v>0</v>
      </c>
      <c r="N4">
        <v>0</v>
      </c>
      <c r="O4">
        <v>0.112602254466181</v>
      </c>
      <c r="P4">
        <v>4</v>
      </c>
      <c r="S4" s="11"/>
    </row>
    <row r="5" spans="1:19" x14ac:dyDescent="0.3">
      <c r="A5" t="s">
        <v>11</v>
      </c>
      <c r="B5">
        <v>1004</v>
      </c>
      <c r="C5">
        <v>17</v>
      </c>
      <c r="D5">
        <v>1</v>
      </c>
      <c r="E5">
        <v>0</v>
      </c>
      <c r="F5">
        <v>3</v>
      </c>
      <c r="G5">
        <v>10.028829473958201</v>
      </c>
      <c r="H5">
        <v>14</v>
      </c>
      <c r="I5">
        <v>0</v>
      </c>
      <c r="J5">
        <v>3</v>
      </c>
      <c r="K5">
        <v>1</v>
      </c>
      <c r="L5">
        <v>0</v>
      </c>
      <c r="M5">
        <v>0</v>
      </c>
      <c r="N5">
        <v>0</v>
      </c>
      <c r="O5">
        <v>2.05421813970294</v>
      </c>
      <c r="P5">
        <v>3</v>
      </c>
    </row>
    <row r="6" spans="1:19" x14ac:dyDescent="0.3">
      <c r="A6" t="s">
        <v>12</v>
      </c>
      <c r="B6">
        <v>1005</v>
      </c>
      <c r="C6">
        <v>17</v>
      </c>
      <c r="D6">
        <v>1</v>
      </c>
      <c r="E6">
        <v>0</v>
      </c>
      <c r="F6">
        <v>2</v>
      </c>
      <c r="G6">
        <v>4.6724952729713296</v>
      </c>
      <c r="H6">
        <v>17</v>
      </c>
      <c r="I6">
        <v>1</v>
      </c>
      <c r="J6">
        <v>3</v>
      </c>
      <c r="K6">
        <v>0</v>
      </c>
      <c r="L6">
        <v>0</v>
      </c>
      <c r="M6">
        <v>0</v>
      </c>
      <c r="N6">
        <v>0</v>
      </c>
      <c r="O6">
        <v>1.28806118179538</v>
      </c>
      <c r="P6">
        <v>4</v>
      </c>
    </row>
    <row r="7" spans="1:19" x14ac:dyDescent="0.3">
      <c r="A7" t="s">
        <v>13</v>
      </c>
      <c r="B7">
        <v>1006</v>
      </c>
      <c r="C7">
        <v>18</v>
      </c>
      <c r="D7">
        <v>0</v>
      </c>
      <c r="E7">
        <v>0</v>
      </c>
      <c r="F7">
        <v>1</v>
      </c>
      <c r="G7">
        <v>8.1912185452501802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3.0841836144863901</v>
      </c>
      <c r="P7">
        <v>1</v>
      </c>
    </row>
    <row r="8" spans="1:19" x14ac:dyDescent="0.3">
      <c r="A8" t="s">
        <v>14</v>
      </c>
      <c r="B8">
        <v>1007</v>
      </c>
      <c r="C8">
        <v>15</v>
      </c>
      <c r="D8">
        <v>0</v>
      </c>
      <c r="E8">
        <v>1</v>
      </c>
      <c r="F8">
        <v>1</v>
      </c>
      <c r="G8">
        <v>15.601680474699201</v>
      </c>
      <c r="H8">
        <v>10</v>
      </c>
      <c r="I8">
        <v>0</v>
      </c>
      <c r="J8">
        <v>3</v>
      </c>
      <c r="K8">
        <v>0</v>
      </c>
      <c r="L8">
        <v>1</v>
      </c>
      <c r="M8">
        <v>0</v>
      </c>
      <c r="N8">
        <v>0</v>
      </c>
      <c r="O8">
        <v>2.7482374148915798</v>
      </c>
      <c r="P8">
        <v>2</v>
      </c>
    </row>
    <row r="9" spans="1:19" x14ac:dyDescent="0.3">
      <c r="A9" t="s">
        <v>15</v>
      </c>
      <c r="B9">
        <v>1008</v>
      </c>
      <c r="C9">
        <v>15</v>
      </c>
      <c r="D9">
        <v>1</v>
      </c>
      <c r="E9">
        <v>1</v>
      </c>
      <c r="F9">
        <v>4</v>
      </c>
      <c r="G9">
        <v>15.424496305808001</v>
      </c>
      <c r="H9">
        <v>22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1.36014271231646</v>
      </c>
      <c r="P9">
        <v>4</v>
      </c>
    </row>
    <row r="10" spans="1:19" x14ac:dyDescent="0.3">
      <c r="A10" t="s">
        <v>16</v>
      </c>
      <c r="B10">
        <v>1009</v>
      </c>
      <c r="C10">
        <v>17</v>
      </c>
      <c r="D10">
        <v>0</v>
      </c>
      <c r="E10">
        <v>0</v>
      </c>
      <c r="F10">
        <v>0</v>
      </c>
      <c r="G10">
        <v>4.5620075580477</v>
      </c>
      <c r="H10">
        <v>1</v>
      </c>
      <c r="I10">
        <v>0</v>
      </c>
      <c r="J10">
        <v>2</v>
      </c>
      <c r="K10">
        <v>0</v>
      </c>
      <c r="L10">
        <v>1</v>
      </c>
      <c r="M10">
        <v>0</v>
      </c>
      <c r="N10">
        <v>1</v>
      </c>
      <c r="O10">
        <v>2.8968191895135602</v>
      </c>
      <c r="P10">
        <v>2</v>
      </c>
    </row>
    <row r="11" spans="1:19" x14ac:dyDescent="0.3">
      <c r="A11" t="s">
        <v>17</v>
      </c>
      <c r="B11">
        <v>1010</v>
      </c>
      <c r="C11">
        <v>16</v>
      </c>
      <c r="D11">
        <v>1</v>
      </c>
      <c r="E11">
        <v>0</v>
      </c>
      <c r="F11">
        <v>1</v>
      </c>
      <c r="G11">
        <v>18.444466363097199</v>
      </c>
      <c r="H11">
        <v>0</v>
      </c>
      <c r="I11">
        <v>0</v>
      </c>
      <c r="J11">
        <v>3</v>
      </c>
      <c r="K11">
        <v>1</v>
      </c>
      <c r="L11">
        <v>0</v>
      </c>
      <c r="M11">
        <v>0</v>
      </c>
      <c r="N11">
        <v>0</v>
      </c>
      <c r="O11">
        <v>3.5734742103297599</v>
      </c>
      <c r="P11">
        <v>0</v>
      </c>
    </row>
    <row r="12" spans="1:19" x14ac:dyDescent="0.3">
      <c r="A12" t="s">
        <v>18</v>
      </c>
      <c r="B12">
        <v>1011</v>
      </c>
      <c r="C12">
        <v>17</v>
      </c>
      <c r="D12">
        <v>0</v>
      </c>
      <c r="E12">
        <v>0</v>
      </c>
      <c r="F12">
        <v>1</v>
      </c>
      <c r="G12">
        <v>11.851363655296501</v>
      </c>
      <c r="H12">
        <v>11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2.14717162501851</v>
      </c>
      <c r="P12">
        <v>3</v>
      </c>
    </row>
    <row r="13" spans="1:19" x14ac:dyDescent="0.3">
      <c r="A13" t="s">
        <v>19</v>
      </c>
      <c r="B13">
        <v>1012</v>
      </c>
      <c r="C13">
        <v>17</v>
      </c>
      <c r="D13">
        <v>0</v>
      </c>
      <c r="E13">
        <v>0</v>
      </c>
      <c r="F13">
        <v>1</v>
      </c>
      <c r="G13">
        <v>7.59848581924029</v>
      </c>
      <c r="H13">
        <v>15</v>
      </c>
      <c r="I13">
        <v>0</v>
      </c>
      <c r="J13">
        <v>2</v>
      </c>
      <c r="K13">
        <v>0</v>
      </c>
      <c r="L13">
        <v>0</v>
      </c>
      <c r="M13">
        <v>0</v>
      </c>
      <c r="N13">
        <v>1</v>
      </c>
      <c r="O13">
        <v>1.55959451904027</v>
      </c>
      <c r="P13">
        <v>4</v>
      </c>
    </row>
    <row r="14" spans="1:19" x14ac:dyDescent="0.3">
      <c r="A14" t="s">
        <v>20</v>
      </c>
      <c r="B14">
        <v>1013</v>
      </c>
      <c r="C14">
        <v>17</v>
      </c>
      <c r="D14">
        <v>0</v>
      </c>
      <c r="E14">
        <v>1</v>
      </c>
      <c r="F14">
        <v>1</v>
      </c>
      <c r="G14">
        <v>10.038711615617199</v>
      </c>
      <c r="H14">
        <v>21</v>
      </c>
      <c r="I14">
        <v>0</v>
      </c>
      <c r="J14">
        <v>3</v>
      </c>
      <c r="K14">
        <v>1</v>
      </c>
      <c r="L14">
        <v>0</v>
      </c>
      <c r="M14">
        <v>0</v>
      </c>
      <c r="N14">
        <v>0</v>
      </c>
      <c r="O14">
        <v>1.5200778148748</v>
      </c>
      <c r="P14">
        <v>4</v>
      </c>
    </row>
    <row r="15" spans="1:19" x14ac:dyDescent="0.3">
      <c r="A15" t="s">
        <v>21</v>
      </c>
      <c r="B15">
        <v>1014</v>
      </c>
      <c r="C15">
        <v>17</v>
      </c>
      <c r="D15">
        <v>0</v>
      </c>
      <c r="E15">
        <v>1</v>
      </c>
      <c r="F15">
        <v>2</v>
      </c>
      <c r="G15">
        <v>12.1014250687548</v>
      </c>
      <c r="H15">
        <v>21</v>
      </c>
      <c r="I15">
        <v>0</v>
      </c>
      <c r="J15">
        <v>4</v>
      </c>
      <c r="K15">
        <v>0</v>
      </c>
      <c r="L15">
        <v>1</v>
      </c>
      <c r="M15">
        <v>0</v>
      </c>
      <c r="N15">
        <v>0</v>
      </c>
      <c r="O15">
        <v>1.75158095833407</v>
      </c>
      <c r="P15">
        <v>4</v>
      </c>
    </row>
    <row r="16" spans="1:19" x14ac:dyDescent="0.3">
      <c r="A16" t="s">
        <v>22</v>
      </c>
      <c r="B16">
        <v>1015</v>
      </c>
      <c r="C16">
        <v>18</v>
      </c>
      <c r="D16">
        <v>1</v>
      </c>
      <c r="E16">
        <v>0</v>
      </c>
      <c r="F16">
        <v>1</v>
      </c>
      <c r="G16">
        <v>11.197810636915699</v>
      </c>
      <c r="H16">
        <v>9</v>
      </c>
      <c r="I16">
        <v>1</v>
      </c>
      <c r="J16">
        <v>2</v>
      </c>
      <c r="K16">
        <v>0</v>
      </c>
      <c r="L16">
        <v>0</v>
      </c>
      <c r="M16">
        <v>0</v>
      </c>
      <c r="N16">
        <v>0</v>
      </c>
      <c r="O16">
        <v>2.3967881171247898</v>
      </c>
      <c r="P16">
        <v>3</v>
      </c>
    </row>
    <row r="17" spans="1:16" x14ac:dyDescent="0.3">
      <c r="A17" t="s">
        <v>23</v>
      </c>
      <c r="B17">
        <v>1016</v>
      </c>
      <c r="C17">
        <v>15</v>
      </c>
      <c r="D17">
        <v>0</v>
      </c>
      <c r="E17">
        <v>0</v>
      </c>
      <c r="F17">
        <v>2</v>
      </c>
      <c r="G17">
        <v>9.7281007107235595</v>
      </c>
      <c r="H17">
        <v>17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  <c r="O17">
        <v>1.3415207165346601</v>
      </c>
      <c r="P17">
        <v>4</v>
      </c>
    </row>
    <row r="18" spans="1:16" x14ac:dyDescent="0.3">
      <c r="A18" t="s">
        <v>24</v>
      </c>
      <c r="B18">
        <v>1017</v>
      </c>
      <c r="C18">
        <v>18</v>
      </c>
      <c r="D18">
        <v>0</v>
      </c>
      <c r="E18">
        <v>3</v>
      </c>
      <c r="F18">
        <v>1</v>
      </c>
      <c r="G18">
        <v>10.098656081788</v>
      </c>
      <c r="H18">
        <v>14</v>
      </c>
      <c r="I18">
        <v>0</v>
      </c>
      <c r="J18">
        <v>2</v>
      </c>
      <c r="K18">
        <v>1</v>
      </c>
      <c r="L18">
        <v>1</v>
      </c>
      <c r="M18">
        <v>0</v>
      </c>
      <c r="N18">
        <v>0</v>
      </c>
      <c r="O18">
        <v>2.23217527771597</v>
      </c>
      <c r="P18">
        <v>3</v>
      </c>
    </row>
    <row r="19" spans="1:16" x14ac:dyDescent="0.3">
      <c r="A19" t="s">
        <v>25</v>
      </c>
      <c r="B19">
        <v>1018</v>
      </c>
      <c r="C19">
        <v>18</v>
      </c>
      <c r="D19">
        <v>1</v>
      </c>
      <c r="E19">
        <v>0</v>
      </c>
      <c r="F19">
        <v>0</v>
      </c>
      <c r="G19">
        <v>3.52823820855772</v>
      </c>
      <c r="H19">
        <v>16</v>
      </c>
      <c r="I19">
        <v>1</v>
      </c>
      <c r="J19">
        <v>2</v>
      </c>
      <c r="K19">
        <v>0</v>
      </c>
      <c r="L19">
        <v>0</v>
      </c>
      <c r="M19">
        <v>0</v>
      </c>
      <c r="N19">
        <v>0</v>
      </c>
      <c r="O19">
        <v>1.38440417569403</v>
      </c>
      <c r="P19">
        <v>4</v>
      </c>
    </row>
    <row r="20" spans="1:16" x14ac:dyDescent="0.3">
      <c r="A20" t="s">
        <v>26</v>
      </c>
      <c r="B20">
        <v>1019</v>
      </c>
      <c r="C20">
        <v>18</v>
      </c>
      <c r="D20">
        <v>0</v>
      </c>
      <c r="E20">
        <v>1</v>
      </c>
      <c r="F20">
        <v>3</v>
      </c>
      <c r="G20">
        <v>16.254658086093499</v>
      </c>
      <c r="H20">
        <v>29</v>
      </c>
      <c r="I20">
        <v>0</v>
      </c>
      <c r="J20">
        <v>2</v>
      </c>
      <c r="K20">
        <v>1</v>
      </c>
      <c r="L20">
        <v>0</v>
      </c>
      <c r="M20">
        <v>0</v>
      </c>
      <c r="N20">
        <v>1</v>
      </c>
      <c r="O20">
        <v>0.46955332337986999</v>
      </c>
      <c r="P20">
        <v>4</v>
      </c>
    </row>
    <row r="21" spans="1:16" x14ac:dyDescent="0.3">
      <c r="A21" t="s">
        <v>27</v>
      </c>
      <c r="B21">
        <v>1020</v>
      </c>
      <c r="C21">
        <v>17</v>
      </c>
      <c r="D21">
        <v>0</v>
      </c>
      <c r="E21">
        <v>0</v>
      </c>
      <c r="F21">
        <v>1</v>
      </c>
      <c r="G21">
        <v>10.835206398820301</v>
      </c>
      <c r="H21">
        <v>9</v>
      </c>
      <c r="I21">
        <v>0</v>
      </c>
      <c r="J21">
        <v>2</v>
      </c>
      <c r="K21">
        <v>0</v>
      </c>
      <c r="L21">
        <v>0</v>
      </c>
      <c r="M21">
        <v>1</v>
      </c>
      <c r="N21">
        <v>0</v>
      </c>
      <c r="O21">
        <v>2.3957840945306899</v>
      </c>
      <c r="P21">
        <v>3</v>
      </c>
    </row>
    <row r="22" spans="1:16" x14ac:dyDescent="0.3">
      <c r="A22" t="s">
        <v>28</v>
      </c>
      <c r="B22">
        <v>1021</v>
      </c>
      <c r="C22">
        <v>16</v>
      </c>
      <c r="D22">
        <v>1</v>
      </c>
      <c r="E22">
        <v>0</v>
      </c>
      <c r="F22">
        <v>3</v>
      </c>
      <c r="G22">
        <v>2.6215972340940601</v>
      </c>
      <c r="H22">
        <v>2</v>
      </c>
      <c r="I22">
        <v>0</v>
      </c>
      <c r="J22">
        <v>3</v>
      </c>
      <c r="K22">
        <v>0</v>
      </c>
      <c r="L22">
        <v>0</v>
      </c>
      <c r="M22">
        <v>0</v>
      </c>
      <c r="N22">
        <v>1</v>
      </c>
      <c r="O22">
        <v>2.7784112999206498</v>
      </c>
      <c r="P22">
        <v>2</v>
      </c>
    </row>
    <row r="23" spans="1:16" x14ac:dyDescent="0.3">
      <c r="A23" t="s">
        <v>29</v>
      </c>
      <c r="B23">
        <v>1022</v>
      </c>
      <c r="C23">
        <v>15</v>
      </c>
      <c r="D23">
        <v>0</v>
      </c>
      <c r="E23">
        <v>0</v>
      </c>
      <c r="F23">
        <v>2</v>
      </c>
      <c r="G23">
        <v>15.3231420316555</v>
      </c>
      <c r="H23">
        <v>25</v>
      </c>
      <c r="I23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0.34689403670501401</v>
      </c>
      <c r="P23">
        <v>4</v>
      </c>
    </row>
    <row r="24" spans="1:16" x14ac:dyDescent="0.3">
      <c r="A24" t="s">
        <v>30</v>
      </c>
      <c r="B24">
        <v>1023</v>
      </c>
      <c r="C24">
        <v>16</v>
      </c>
      <c r="D24">
        <v>1</v>
      </c>
      <c r="E24">
        <v>1</v>
      </c>
      <c r="F24">
        <v>0</v>
      </c>
      <c r="G24">
        <v>18.648879567546999</v>
      </c>
      <c r="H24">
        <v>29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0.31254623052535402</v>
      </c>
      <c r="P24">
        <v>4</v>
      </c>
    </row>
    <row r="25" spans="1:16" x14ac:dyDescent="0.3">
      <c r="A25" t="s">
        <v>31</v>
      </c>
      <c r="B25">
        <v>1024</v>
      </c>
      <c r="C25">
        <v>18</v>
      </c>
      <c r="D25">
        <v>1</v>
      </c>
      <c r="E25">
        <v>3</v>
      </c>
      <c r="F25">
        <v>4</v>
      </c>
      <c r="G25">
        <v>18.946137984739199</v>
      </c>
      <c r="H25">
        <v>20</v>
      </c>
      <c r="I25">
        <v>0</v>
      </c>
      <c r="J25">
        <v>2</v>
      </c>
      <c r="K25">
        <v>1</v>
      </c>
      <c r="L25">
        <v>0</v>
      </c>
      <c r="M25">
        <v>0</v>
      </c>
      <c r="N25">
        <v>0</v>
      </c>
      <c r="O25">
        <v>1.7701318767799701</v>
      </c>
      <c r="P25">
        <v>4</v>
      </c>
    </row>
    <row r="26" spans="1:16" x14ac:dyDescent="0.3">
      <c r="A26" t="s">
        <v>32</v>
      </c>
      <c r="B26">
        <v>1025</v>
      </c>
      <c r="C26">
        <v>18</v>
      </c>
      <c r="D26">
        <v>1</v>
      </c>
      <c r="E26">
        <v>0</v>
      </c>
      <c r="F26">
        <v>1</v>
      </c>
      <c r="G26">
        <v>7.3803546482234497</v>
      </c>
      <c r="H26">
        <v>15</v>
      </c>
      <c r="I26">
        <v>0</v>
      </c>
      <c r="J26">
        <v>2</v>
      </c>
      <c r="K26">
        <v>0</v>
      </c>
      <c r="L26">
        <v>0</v>
      </c>
      <c r="M26">
        <v>0</v>
      </c>
      <c r="N26">
        <v>0</v>
      </c>
      <c r="O26">
        <v>1.5051556220362801</v>
      </c>
      <c r="P26">
        <v>4</v>
      </c>
    </row>
    <row r="27" spans="1:16" x14ac:dyDescent="0.3">
      <c r="A27" t="s">
        <v>33</v>
      </c>
      <c r="B27">
        <v>1026</v>
      </c>
      <c r="C27">
        <v>16</v>
      </c>
      <c r="D27">
        <v>1</v>
      </c>
      <c r="E27">
        <v>0</v>
      </c>
      <c r="F27">
        <v>3</v>
      </c>
      <c r="G27">
        <v>2.7103374712150798</v>
      </c>
      <c r="H27">
        <v>5</v>
      </c>
      <c r="I27">
        <v>0</v>
      </c>
      <c r="J27">
        <v>4</v>
      </c>
      <c r="K27">
        <v>0</v>
      </c>
      <c r="L27">
        <v>0</v>
      </c>
      <c r="M27">
        <v>1</v>
      </c>
      <c r="N27">
        <v>0</v>
      </c>
      <c r="O27">
        <v>2.9778519183157401</v>
      </c>
      <c r="P27">
        <v>2</v>
      </c>
    </row>
    <row r="28" spans="1:16" x14ac:dyDescent="0.3">
      <c r="A28" t="s">
        <v>34</v>
      </c>
      <c r="B28">
        <v>1027</v>
      </c>
      <c r="C28">
        <v>16</v>
      </c>
      <c r="D28">
        <v>0</v>
      </c>
      <c r="E28">
        <v>0</v>
      </c>
      <c r="F28">
        <v>1</v>
      </c>
      <c r="G28">
        <v>10.367992532661299</v>
      </c>
      <c r="H28">
        <v>2</v>
      </c>
      <c r="I28">
        <v>0</v>
      </c>
      <c r="J28">
        <v>2</v>
      </c>
      <c r="K28">
        <v>0</v>
      </c>
      <c r="L28">
        <v>1</v>
      </c>
      <c r="M28">
        <v>0</v>
      </c>
      <c r="N28">
        <v>0</v>
      </c>
      <c r="O28">
        <v>2.9487176719119201</v>
      </c>
      <c r="P28">
        <v>2</v>
      </c>
    </row>
    <row r="29" spans="1:16" x14ac:dyDescent="0.3">
      <c r="A29" t="s">
        <v>35</v>
      </c>
      <c r="B29">
        <v>1028</v>
      </c>
      <c r="C29">
        <v>16</v>
      </c>
      <c r="D29">
        <v>1</v>
      </c>
      <c r="E29">
        <v>0</v>
      </c>
      <c r="F29">
        <v>3</v>
      </c>
      <c r="G29">
        <v>2.2521845869844102</v>
      </c>
      <c r="H29">
        <v>8</v>
      </c>
      <c r="I29">
        <v>0</v>
      </c>
      <c r="J29">
        <v>3</v>
      </c>
      <c r="K29">
        <v>0</v>
      </c>
      <c r="L29">
        <v>0</v>
      </c>
      <c r="M29">
        <v>1</v>
      </c>
      <c r="N29">
        <v>0</v>
      </c>
      <c r="O29">
        <v>2.14520472046719</v>
      </c>
      <c r="P29">
        <v>3</v>
      </c>
    </row>
    <row r="30" spans="1:16" x14ac:dyDescent="0.3">
      <c r="A30" t="s">
        <v>36</v>
      </c>
      <c r="B30">
        <v>1029</v>
      </c>
      <c r="C30">
        <v>18</v>
      </c>
      <c r="D30">
        <v>0</v>
      </c>
      <c r="E30">
        <v>0</v>
      </c>
      <c r="F30">
        <v>0</v>
      </c>
      <c r="G30">
        <v>18.679748370252302</v>
      </c>
      <c r="H30">
        <v>10</v>
      </c>
      <c r="I30">
        <v>0</v>
      </c>
      <c r="J30">
        <v>3</v>
      </c>
      <c r="K30">
        <v>1</v>
      </c>
      <c r="L30">
        <v>0</v>
      </c>
      <c r="M30">
        <v>0</v>
      </c>
      <c r="N30">
        <v>0</v>
      </c>
      <c r="O30">
        <v>2.8548039289813101</v>
      </c>
      <c r="P30">
        <v>2</v>
      </c>
    </row>
    <row r="31" spans="1:16" x14ac:dyDescent="0.3">
      <c r="A31" t="s">
        <v>37</v>
      </c>
      <c r="B31">
        <v>1030</v>
      </c>
      <c r="C31">
        <v>18</v>
      </c>
      <c r="D31">
        <v>0</v>
      </c>
      <c r="E31">
        <v>0</v>
      </c>
      <c r="F31">
        <v>2</v>
      </c>
      <c r="G31">
        <v>3.6715925471029198</v>
      </c>
      <c r="H31">
        <v>20</v>
      </c>
      <c r="I31">
        <v>0</v>
      </c>
      <c r="J31">
        <v>3</v>
      </c>
      <c r="K31">
        <v>1</v>
      </c>
      <c r="L31">
        <v>0</v>
      </c>
      <c r="M31">
        <v>0</v>
      </c>
      <c r="N31">
        <v>0</v>
      </c>
      <c r="O31">
        <v>1.51944172581513</v>
      </c>
      <c r="P31">
        <v>4</v>
      </c>
    </row>
    <row r="32" spans="1:16" x14ac:dyDescent="0.3">
      <c r="A32" t="s">
        <v>38</v>
      </c>
      <c r="B32">
        <v>1031</v>
      </c>
      <c r="C32">
        <v>15</v>
      </c>
      <c r="D32">
        <v>0</v>
      </c>
      <c r="E32">
        <v>2</v>
      </c>
      <c r="F32">
        <v>2</v>
      </c>
      <c r="G32">
        <v>5.0553171990232801</v>
      </c>
      <c r="H32">
        <v>12</v>
      </c>
      <c r="I32">
        <v>1</v>
      </c>
      <c r="J32">
        <v>0</v>
      </c>
      <c r="K32">
        <v>0</v>
      </c>
      <c r="L32">
        <v>1</v>
      </c>
      <c r="M32">
        <v>0</v>
      </c>
      <c r="N32">
        <v>0</v>
      </c>
      <c r="O32">
        <v>1.7271203095223999</v>
      </c>
      <c r="P32">
        <v>4</v>
      </c>
    </row>
    <row r="33" spans="1:16" x14ac:dyDescent="0.3">
      <c r="A33" t="s">
        <v>39</v>
      </c>
      <c r="B33">
        <v>1032</v>
      </c>
      <c r="C33">
        <v>15</v>
      </c>
      <c r="D33">
        <v>0</v>
      </c>
      <c r="E33">
        <v>0</v>
      </c>
      <c r="F33">
        <v>3</v>
      </c>
      <c r="G33">
        <v>8.1327305376994001</v>
      </c>
      <c r="H33">
        <v>17</v>
      </c>
      <c r="I33">
        <v>0</v>
      </c>
      <c r="J33">
        <v>4</v>
      </c>
      <c r="K33">
        <v>0</v>
      </c>
      <c r="L33">
        <v>0</v>
      </c>
      <c r="M33">
        <v>0</v>
      </c>
      <c r="N33">
        <v>1</v>
      </c>
      <c r="O33">
        <v>1.8475354711387899</v>
      </c>
      <c r="P33">
        <v>4</v>
      </c>
    </row>
    <row r="34" spans="1:16" x14ac:dyDescent="0.3">
      <c r="A34" t="s">
        <v>40</v>
      </c>
      <c r="B34">
        <v>1033</v>
      </c>
      <c r="C34">
        <v>18</v>
      </c>
      <c r="D34">
        <v>0</v>
      </c>
      <c r="E34">
        <v>0</v>
      </c>
      <c r="F34">
        <v>3</v>
      </c>
      <c r="G34">
        <v>7.6632893711825103</v>
      </c>
      <c r="H34">
        <v>25</v>
      </c>
      <c r="I34">
        <v>0</v>
      </c>
      <c r="J34">
        <v>1</v>
      </c>
      <c r="K34">
        <v>0</v>
      </c>
      <c r="L34">
        <v>1</v>
      </c>
      <c r="M34">
        <v>0</v>
      </c>
      <c r="N34">
        <v>0</v>
      </c>
      <c r="O34">
        <v>0.38461697285648699</v>
      </c>
      <c r="P34">
        <v>4</v>
      </c>
    </row>
    <row r="35" spans="1:16" x14ac:dyDescent="0.3">
      <c r="A35" t="s">
        <v>41</v>
      </c>
      <c r="B35">
        <v>1034</v>
      </c>
      <c r="C35">
        <v>16</v>
      </c>
      <c r="D35">
        <v>0</v>
      </c>
      <c r="E35">
        <v>3</v>
      </c>
      <c r="F35">
        <v>3</v>
      </c>
      <c r="G35">
        <v>15.893257847957701</v>
      </c>
      <c r="H35">
        <v>21</v>
      </c>
      <c r="I35">
        <v>0</v>
      </c>
      <c r="J35">
        <v>0</v>
      </c>
      <c r="K35">
        <v>1</v>
      </c>
      <c r="L35">
        <v>1</v>
      </c>
      <c r="M35">
        <v>0</v>
      </c>
      <c r="N35">
        <v>0</v>
      </c>
      <c r="O35">
        <v>0.94940609779728002</v>
      </c>
      <c r="P35">
        <v>4</v>
      </c>
    </row>
    <row r="36" spans="1:16" x14ac:dyDescent="0.3">
      <c r="A36" t="s">
        <v>42</v>
      </c>
      <c r="B36">
        <v>1035</v>
      </c>
      <c r="C36">
        <v>16</v>
      </c>
      <c r="D36">
        <v>0</v>
      </c>
      <c r="E36">
        <v>0</v>
      </c>
      <c r="F36">
        <v>3</v>
      </c>
      <c r="G36">
        <v>9.1263364110192402</v>
      </c>
      <c r="H36">
        <v>27</v>
      </c>
      <c r="I36">
        <v>1</v>
      </c>
      <c r="J36">
        <v>2</v>
      </c>
      <c r="K36">
        <v>1</v>
      </c>
      <c r="L36">
        <v>1</v>
      </c>
      <c r="M36">
        <v>0</v>
      </c>
      <c r="N36">
        <v>0</v>
      </c>
      <c r="O36">
        <v>1.14095941842033</v>
      </c>
      <c r="P36">
        <v>4</v>
      </c>
    </row>
    <row r="37" spans="1:16" x14ac:dyDescent="0.3">
      <c r="A37" t="s">
        <v>43</v>
      </c>
      <c r="B37">
        <v>1036</v>
      </c>
      <c r="C37">
        <v>15</v>
      </c>
      <c r="D37">
        <v>0</v>
      </c>
      <c r="E37">
        <v>3</v>
      </c>
      <c r="F37">
        <v>1</v>
      </c>
      <c r="G37">
        <v>3.4153652000667298</v>
      </c>
      <c r="H37">
        <v>23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0.26147226005075203</v>
      </c>
      <c r="P37">
        <v>4</v>
      </c>
    </row>
    <row r="38" spans="1:16" x14ac:dyDescent="0.3">
      <c r="A38" t="s">
        <v>44</v>
      </c>
      <c r="B38">
        <v>1037</v>
      </c>
      <c r="C38">
        <v>18</v>
      </c>
      <c r="D38">
        <v>0</v>
      </c>
      <c r="E38">
        <v>0</v>
      </c>
      <c r="F38">
        <v>1</v>
      </c>
      <c r="G38">
        <v>5.3441979097214798</v>
      </c>
      <c r="H38">
        <v>26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0.21828485682103099</v>
      </c>
      <c r="P38">
        <v>4</v>
      </c>
    </row>
    <row r="39" spans="1:16" x14ac:dyDescent="0.3">
      <c r="A39" t="s">
        <v>45</v>
      </c>
      <c r="B39">
        <v>1038</v>
      </c>
      <c r="C39">
        <v>15</v>
      </c>
      <c r="D39">
        <v>0</v>
      </c>
      <c r="E39">
        <v>2</v>
      </c>
      <c r="F39">
        <v>1</v>
      </c>
      <c r="G39">
        <v>10.1822677037504</v>
      </c>
      <c r="H39">
        <v>21</v>
      </c>
      <c r="I39">
        <v>1</v>
      </c>
      <c r="J39">
        <v>1</v>
      </c>
      <c r="K39">
        <v>0</v>
      </c>
      <c r="L39">
        <v>1</v>
      </c>
      <c r="M39">
        <v>0</v>
      </c>
      <c r="N39">
        <v>0</v>
      </c>
      <c r="O39">
        <v>1.0677635510419701</v>
      </c>
      <c r="P39">
        <v>4</v>
      </c>
    </row>
    <row r="40" spans="1:16" x14ac:dyDescent="0.3">
      <c r="A40" t="s">
        <v>56</v>
      </c>
      <c r="B40">
        <v>1039</v>
      </c>
      <c r="C40">
        <v>15</v>
      </c>
      <c r="D40">
        <v>1</v>
      </c>
      <c r="E40">
        <v>1</v>
      </c>
      <c r="F40">
        <v>1</v>
      </c>
      <c r="G40">
        <v>2.9490783485226899</v>
      </c>
      <c r="H40">
        <v>3</v>
      </c>
      <c r="I40">
        <v>1</v>
      </c>
      <c r="J40">
        <v>1</v>
      </c>
      <c r="K40">
        <v>1</v>
      </c>
      <c r="L40">
        <v>1</v>
      </c>
      <c r="M40">
        <v>0</v>
      </c>
      <c r="N40">
        <v>0</v>
      </c>
      <c r="O40">
        <v>3.01890585842796</v>
      </c>
      <c r="P40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31"/>
  <sheetViews>
    <sheetView tabSelected="1" zoomScale="80" zoomScaleNormal="80" workbookViewId="0">
      <selection activeCell="E12" sqref="E12"/>
    </sheetView>
  </sheetViews>
  <sheetFormatPr defaultColWidth="9.109375" defaultRowHeight="14.4" x14ac:dyDescent="0.3"/>
  <cols>
    <col min="1" max="1" width="9.109375" style="7"/>
    <col min="2" max="2" width="27.6640625" style="7" customWidth="1"/>
    <col min="3" max="3" width="21.109375" style="7" customWidth="1"/>
    <col min="4" max="4" width="26.6640625" style="7" customWidth="1"/>
    <col min="5" max="5" width="17.5546875" style="7" customWidth="1"/>
    <col min="6" max="6" width="3.109375" style="7" customWidth="1"/>
    <col min="7" max="7" width="0" style="7" hidden="1" customWidth="1"/>
    <col min="8" max="16384" width="9.109375" style="5"/>
  </cols>
  <sheetData>
    <row r="3" spans="2:5" ht="40.799999999999997" x14ac:dyDescent="0.7">
      <c r="B3" s="27" t="s">
        <v>71</v>
      </c>
      <c r="C3" s="27"/>
      <c r="D3" s="8"/>
    </row>
    <row r="5" spans="2:5" ht="28.8" x14ac:dyDescent="0.55000000000000004">
      <c r="B5" s="24" t="s">
        <v>72</v>
      </c>
      <c r="C5" s="25"/>
      <c r="D5" s="26"/>
      <c r="E5" s="12" t="s">
        <v>6</v>
      </c>
    </row>
    <row r="7" spans="2:5" ht="21" x14ac:dyDescent="0.4">
      <c r="B7" s="6" t="s">
        <v>73</v>
      </c>
      <c r="C7" s="6" t="s">
        <v>4</v>
      </c>
    </row>
    <row r="8" spans="2:5" ht="18" x14ac:dyDescent="0.35">
      <c r="B8" s="13" t="s">
        <v>7</v>
      </c>
      <c r="C8" s="9" t="e">
        <f ca="1">_xlfn.XLOOKUP('Report of Students'!E5,Biology!B2:B39,Biology!E2:E39,"Not Found",0,)</f>
        <v>#NAME?</v>
      </c>
    </row>
    <row r="9" spans="2:5" ht="28.95" customHeight="1" x14ac:dyDescent="0.35">
      <c r="B9" s="13" t="s">
        <v>46</v>
      </c>
      <c r="C9" s="9" t="e">
        <f ca="1">_xlfn.XLOOKUP(E5,Chemistry!B2:B28,Chemistry!E2:E28,"Not Found",0)</f>
        <v>#NAME?</v>
      </c>
    </row>
    <row r="10" spans="2:5" ht="18" x14ac:dyDescent="0.35">
      <c r="B10" s="13" t="s">
        <v>48</v>
      </c>
      <c r="C10" s="9" t="e">
        <f ca="1">_xlfn.XLOOKUP(E5,Mathematics!B2:B38,Mathematics!E2:E38,"NotFound",0)</f>
        <v>#NAME?</v>
      </c>
    </row>
    <row r="11" spans="2:5" ht="18" x14ac:dyDescent="0.35">
      <c r="B11" s="13" t="s">
        <v>50</v>
      </c>
      <c r="C11" s="9" t="e">
        <f ca="1">_xlfn.XLOOKUP(E5,Philosophy!B2:B39,Philosophy!E2:E39,"NotFound",0)</f>
        <v>#NAME?</v>
      </c>
      <c r="E11" s="14"/>
    </row>
    <row r="12" spans="2:5" ht="18" x14ac:dyDescent="0.35">
      <c r="B12" s="13" t="s">
        <v>52</v>
      </c>
      <c r="C12" s="9" t="e">
        <f ca="1">_xlfn.XLOOKUP(E5,Physics!B2:B22,Physics!E2:E22,"NotFound",0)</f>
        <v>#NAME?</v>
      </c>
    </row>
    <row r="13" spans="2:5" ht="18" x14ac:dyDescent="0.35">
      <c r="B13" s="13" t="s">
        <v>54</v>
      </c>
      <c r="C13" s="9" t="e">
        <f ca="1">_xlfn.XLOOKUP(E5,Sociology!B2:B40,Sociology!E2:E40,"NotFound",0)</f>
        <v>#NAME?</v>
      </c>
    </row>
    <row r="14" spans="2:5" ht="21" x14ac:dyDescent="0.4">
      <c r="B14" s="6" t="s">
        <v>74</v>
      </c>
      <c r="C14" s="10" t="e">
        <f ca="1">SUM(C8:C13)</f>
        <v>#NAME?</v>
      </c>
    </row>
    <row r="16" spans="2:5" ht="43.2" x14ac:dyDescent="0.3">
      <c r="B16" s="18" t="s">
        <v>75</v>
      </c>
      <c r="C16" s="19" t="s">
        <v>61</v>
      </c>
      <c r="D16" s="20" t="s">
        <v>76</v>
      </c>
    </row>
    <row r="17" spans="2:4" x14ac:dyDescent="0.3">
      <c r="B17" s="21">
        <f>AVERAGE('Additional Details'!G2:G40)</f>
        <v>9.9480693951685026</v>
      </c>
      <c r="C17" s="22" t="e">
        <f ca="1">_xlfn.XLOOKUP(E5,'Additional Details'!A2:A40,'Additional Details'!G2:G40,"NotFound",0)</f>
        <v>#NAME?</v>
      </c>
      <c r="D17" s="21" t="e">
        <f ca="1">B17-C17</f>
        <v>#NAME?</v>
      </c>
    </row>
    <row r="19" spans="2:4" ht="43.2" x14ac:dyDescent="0.3">
      <c r="B19" s="18" t="s">
        <v>77</v>
      </c>
      <c r="C19" s="23" t="s">
        <v>78</v>
      </c>
      <c r="D19" s="20" t="s">
        <v>79</v>
      </c>
    </row>
    <row r="20" spans="2:4" x14ac:dyDescent="0.3">
      <c r="B20" s="21">
        <f>AVERAGE('Additional Details'!H2:H40)</f>
        <v>14.615384615384615</v>
      </c>
      <c r="C20" s="22">
        <f>_xlfn.XLOOKUP(E14,'Additional Details'!A6:A44,'Additional Details'!H2:H40,"NotFound",0)</f>
        <v>23</v>
      </c>
      <c r="D20" s="21">
        <f>B20-C20</f>
        <v>-8.384615384615385</v>
      </c>
    </row>
    <row r="22" spans="2:4" x14ac:dyDescent="0.3">
      <c r="B22" s="15" t="s">
        <v>73</v>
      </c>
      <c r="C22" s="16" t="s">
        <v>80</v>
      </c>
    </row>
    <row r="23" spans="2:4" x14ac:dyDescent="0.3">
      <c r="B23" s="17" t="s">
        <v>81</v>
      </c>
      <c r="C23" s="17" t="e">
        <f ca="1">_xlfn.XLOOKUP(E5,Biology!B2:B39,Biology!F2:F39,"NotFound")</f>
        <v>#NAME?</v>
      </c>
    </row>
    <row r="24" spans="2:4" x14ac:dyDescent="0.3">
      <c r="B24" s="17" t="s">
        <v>46</v>
      </c>
      <c r="C24" s="17" t="e">
        <f ca="1">_xlfn.XLOOKUP(E5,Chemistry!B2:B28,Chemistry!F2:F28,"NotFound")</f>
        <v>#NAME?</v>
      </c>
    </row>
    <row r="25" spans="2:4" x14ac:dyDescent="0.3">
      <c r="B25" s="17" t="s">
        <v>48</v>
      </c>
      <c r="C25" s="17" t="e">
        <f ca="1">_xlfn.XLOOKUP(E5,Mathematics!B2:B38,Mathematics!F2:F38,"NotFound")</f>
        <v>#NAME?</v>
      </c>
    </row>
    <row r="26" spans="2:4" x14ac:dyDescent="0.3">
      <c r="B26" s="17" t="s">
        <v>50</v>
      </c>
      <c r="C26" s="17" t="e">
        <f ca="1">_xlfn.XLOOKUP(E5,Philosophy!B2:B39,Philosophy!F2:F39,"NotFound")</f>
        <v>#NAME?</v>
      </c>
    </row>
    <row r="27" spans="2:4" x14ac:dyDescent="0.3">
      <c r="B27" s="17" t="s">
        <v>52</v>
      </c>
      <c r="C27" s="17" t="e" cm="1">
        <f t="array" aca="1" ref="C27" ca="1">_xlfn.XLOOKUP(E5,Physics!B2:B22,Physics!F2:'Physics'!F22,"NotFound")</f>
        <v>#NAME?</v>
      </c>
    </row>
    <row r="28" spans="2:4" x14ac:dyDescent="0.3">
      <c r="B28" s="17" t="s">
        <v>54</v>
      </c>
      <c r="C28" s="17" t="e">
        <f ca="1">_xlfn.XLOOKUP(E5,Sociology!B2:B40,Sociology!F2:F40,"NotFound")</f>
        <v>#NAME?</v>
      </c>
    </row>
    <row r="31" spans="2:4" hidden="1" x14ac:dyDescent="0.3"/>
  </sheetData>
  <mergeCells count="2">
    <mergeCell ref="B5:D5"/>
    <mergeCell ref="B3:C3"/>
  </mergeCells>
  <conditionalFormatting sqref="C8:C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'Additional Details'!$A$2:$A$40</xm:f>
          </x14:formula1>
          <xm:sqref>E5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Biology</vt:lpstr>
      <vt:lpstr>Chemistry</vt:lpstr>
      <vt:lpstr>Mathematics</vt:lpstr>
      <vt:lpstr>Philosophy</vt:lpstr>
      <vt:lpstr>Physics</vt:lpstr>
      <vt:lpstr>Sociology</vt:lpstr>
      <vt:lpstr>Sheet2</vt:lpstr>
      <vt:lpstr>Additional Details</vt:lpstr>
      <vt:lpstr>Report of Students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 Kumari</dc:creator>
  <cp:keywords/>
  <dc:description/>
  <cp:lastModifiedBy>APPAJI GUNAVARDHAN RAO</cp:lastModifiedBy>
  <cp:revision/>
  <dcterms:created xsi:type="dcterms:W3CDTF">2024-11-18T04:47:18Z</dcterms:created>
  <dcterms:modified xsi:type="dcterms:W3CDTF">2026-08-12T16:03:20Z</dcterms:modified>
  <cp:category/>
  <cp:contentStatus/>
</cp:coreProperties>
</file>